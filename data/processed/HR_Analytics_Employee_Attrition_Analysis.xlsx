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Eishu\Desktop\Jobaaj\HR-ANALYTICS-EMPLOYEE-ATTRITION-EXCEL\data\processed\"/>
    </mc:Choice>
  </mc:AlternateContent>
  <xr:revisionPtr revIDLastSave="0" documentId="13_ncr:1_{7C7868AA-AFE9-4587-A0B1-81FBEC6E69A7}" xr6:coauthVersionLast="47" xr6:coauthVersionMax="47" xr10:uidLastSave="{00000000-0000-0000-0000-000000000000}"/>
  <bookViews>
    <workbookView xWindow="-120" yWindow="-120" windowWidth="20730" windowHeight="11040" firstSheet="1" activeTab="1" xr2:uid="{9AF1A5E0-A015-4D08-BCCF-C4BC79216601}"/>
  </bookViews>
  <sheets>
    <sheet name="Data" sheetId="1" r:id="rId1"/>
    <sheet name="Dashboard" sheetId="7" r:id="rId2"/>
    <sheet name="Basic_Analysis" sheetId="3" r:id="rId3"/>
    <sheet name="Basic_Pivot" sheetId="4" r:id="rId4"/>
    <sheet name="Medium_Analysis" sheetId="5" r:id="rId5"/>
    <sheet name="Medium_Pivot" sheetId="6" r:id="rId6"/>
    <sheet name="Dashboard_Pivot" sheetId="8" r:id="rId7"/>
  </sheets>
  <definedNames>
    <definedName name="Slicer_Department">#N/A</definedName>
    <definedName name="Slicer_Education">#N/A</definedName>
    <definedName name="Slicer_MaritalStatus">#N/A</definedName>
    <definedName name="Slicer_OverTime">#N/A</definedName>
  </definedNames>
  <calcPr calcId="191029"/>
  <pivotCaches>
    <pivotCache cacheId="57" r:id="rId8"/>
  </pivotCaches>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0" i="6" l="1"/>
  <c r="E81" i="6"/>
  <c r="E82" i="6"/>
  <c r="E83" i="6"/>
  <c r="E84" i="6"/>
  <c r="E85" i="6"/>
  <c r="E86" i="6"/>
  <c r="E87" i="6"/>
  <c r="E88" i="6"/>
  <c r="E89" i="6"/>
  <c r="E90" i="6"/>
  <c r="E91" i="6"/>
  <c r="E92" i="6"/>
  <c r="E93" i="6"/>
  <c r="E94" i="6"/>
  <c r="E95" i="6"/>
  <c r="E79" i="6"/>
  <c r="B65" i="6"/>
  <c r="E58" i="6"/>
  <c r="E59" i="6"/>
  <c r="E60" i="6"/>
  <c r="E61" i="6"/>
  <c r="E57" i="6"/>
  <c r="E48" i="6"/>
  <c r="E49" i="6"/>
  <c r="E50" i="6"/>
  <c r="E51" i="6"/>
  <c r="E47" i="6"/>
  <c r="E35" i="6"/>
  <c r="E36" i="6"/>
  <c r="E37" i="6"/>
  <c r="E38" i="6"/>
  <c r="E39" i="6"/>
  <c r="E40" i="6"/>
  <c r="E41" i="6"/>
  <c r="E34" i="6"/>
  <c r="E26" i="6"/>
  <c r="E27" i="6"/>
  <c r="E28" i="6"/>
  <c r="E25" i="6"/>
  <c r="B19" i="6"/>
  <c r="E12" i="6"/>
  <c r="E13" i="6"/>
  <c r="E14" i="6"/>
  <c r="E15" i="6"/>
  <c r="E11" i="6"/>
  <c r="B5" i="6"/>
  <c r="B4" i="6"/>
  <c r="B3" i="6"/>
  <c r="B96" i="4"/>
  <c r="AJ4" i="1"/>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48" i="4"/>
  <c r="AJ2" i="1"/>
  <c r="AJ3" i="1"/>
  <c r="AJ5" i="1"/>
  <c r="AJ6" i="1"/>
  <c r="AJ7" i="1"/>
  <c r="AJ8"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79" i="1"/>
  <c r="AJ80" i="1"/>
  <c r="AJ81" i="1"/>
  <c r="AJ82" i="1"/>
  <c r="AJ83" i="1"/>
  <c r="AJ84" i="1"/>
  <c r="AJ85" i="1"/>
  <c r="AJ86" i="1"/>
  <c r="AJ87" i="1"/>
  <c r="AJ88" i="1"/>
  <c r="AJ89" i="1"/>
  <c r="AJ90" i="1"/>
  <c r="AJ91" i="1"/>
  <c r="AJ92" i="1"/>
  <c r="AJ93" i="1"/>
  <c r="AJ94" i="1"/>
  <c r="AJ95" i="1"/>
  <c r="AJ96" i="1"/>
  <c r="AJ97" i="1"/>
  <c r="AJ98" i="1"/>
  <c r="AJ99" i="1"/>
  <c r="AJ100" i="1"/>
  <c r="AJ101" i="1"/>
  <c r="AJ102" i="1"/>
  <c r="AJ103" i="1"/>
  <c r="AJ104" i="1"/>
  <c r="AJ105" i="1"/>
  <c r="AJ106" i="1"/>
  <c r="AJ107" i="1"/>
  <c r="AJ108" i="1"/>
  <c r="AJ109" i="1"/>
  <c r="AJ110" i="1"/>
  <c r="AJ111" i="1"/>
  <c r="AJ112" i="1"/>
  <c r="AJ113" i="1"/>
  <c r="AJ114" i="1"/>
  <c r="AJ115" i="1"/>
  <c r="AJ116" i="1"/>
  <c r="AJ117" i="1"/>
  <c r="AJ118" i="1"/>
  <c r="AJ119" i="1"/>
  <c r="AJ120" i="1"/>
  <c r="AJ121" i="1"/>
  <c r="AJ122" i="1"/>
  <c r="AJ123" i="1"/>
  <c r="AJ124" i="1"/>
  <c r="AJ125" i="1"/>
  <c r="AJ126" i="1"/>
  <c r="AJ127" i="1"/>
  <c r="AJ128" i="1"/>
  <c r="AJ129" i="1"/>
  <c r="AJ130" i="1"/>
  <c r="AJ131" i="1"/>
  <c r="AJ132" i="1"/>
  <c r="AJ133" i="1"/>
  <c r="AJ134" i="1"/>
  <c r="AJ135" i="1"/>
  <c r="AJ136" i="1"/>
  <c r="AJ137" i="1"/>
  <c r="AJ138" i="1"/>
  <c r="AJ139" i="1"/>
  <c r="AJ140" i="1"/>
  <c r="AJ141" i="1"/>
  <c r="AJ142" i="1"/>
  <c r="AJ143" i="1"/>
  <c r="AJ144" i="1"/>
  <c r="AJ145" i="1"/>
  <c r="AJ146" i="1"/>
  <c r="AJ147" i="1"/>
  <c r="AJ148" i="1"/>
  <c r="AJ149" i="1"/>
  <c r="AJ150" i="1"/>
  <c r="AJ151" i="1"/>
  <c r="AJ152" i="1"/>
  <c r="AJ153" i="1"/>
  <c r="AJ154" i="1"/>
  <c r="AJ155" i="1"/>
  <c r="AJ156" i="1"/>
  <c r="AJ157" i="1"/>
  <c r="AJ158" i="1"/>
  <c r="AJ159" i="1"/>
  <c r="AJ160" i="1"/>
  <c r="AJ161" i="1"/>
  <c r="AJ162" i="1"/>
  <c r="AJ163" i="1"/>
  <c r="AJ164" i="1"/>
  <c r="AJ165" i="1"/>
  <c r="AJ166" i="1"/>
  <c r="AJ167" i="1"/>
  <c r="AJ168" i="1"/>
  <c r="AJ169" i="1"/>
  <c r="AJ170" i="1"/>
  <c r="AJ171" i="1"/>
  <c r="AJ172" i="1"/>
  <c r="AJ173" i="1"/>
  <c r="AJ174" i="1"/>
  <c r="AJ175" i="1"/>
  <c r="AJ176" i="1"/>
  <c r="AJ177" i="1"/>
  <c r="AJ178" i="1"/>
  <c r="AJ179" i="1"/>
  <c r="AJ180" i="1"/>
  <c r="AJ181" i="1"/>
  <c r="AJ182" i="1"/>
  <c r="AJ183" i="1"/>
  <c r="AJ184" i="1"/>
  <c r="AJ185" i="1"/>
  <c r="AJ186" i="1"/>
  <c r="AJ187" i="1"/>
  <c r="AJ188" i="1"/>
  <c r="AJ189" i="1"/>
  <c r="AJ190" i="1"/>
  <c r="AJ191" i="1"/>
  <c r="AJ192" i="1"/>
  <c r="AJ193" i="1"/>
  <c r="AJ194" i="1"/>
  <c r="AJ195" i="1"/>
  <c r="AJ196" i="1"/>
  <c r="AJ197" i="1"/>
  <c r="AJ198" i="1"/>
  <c r="AJ199" i="1"/>
  <c r="AJ200" i="1"/>
  <c r="AJ201" i="1"/>
  <c r="AJ202" i="1"/>
  <c r="AJ203" i="1"/>
  <c r="AJ204" i="1"/>
  <c r="AJ205" i="1"/>
  <c r="AJ206" i="1"/>
  <c r="AJ207" i="1"/>
  <c r="AJ208" i="1"/>
  <c r="AJ209" i="1"/>
  <c r="AJ210" i="1"/>
  <c r="AJ211" i="1"/>
  <c r="AJ212" i="1"/>
  <c r="AJ213" i="1"/>
  <c r="AJ214" i="1"/>
  <c r="AJ215" i="1"/>
  <c r="AJ216" i="1"/>
  <c r="AJ217" i="1"/>
  <c r="AJ218" i="1"/>
  <c r="AJ219" i="1"/>
  <c r="AJ220" i="1"/>
  <c r="AJ221" i="1"/>
  <c r="AJ222" i="1"/>
  <c r="AJ223" i="1"/>
  <c r="AJ224" i="1"/>
  <c r="AJ225" i="1"/>
  <c r="AJ226" i="1"/>
  <c r="AJ227" i="1"/>
  <c r="AJ228" i="1"/>
  <c r="AJ229" i="1"/>
  <c r="AJ230" i="1"/>
  <c r="AJ231" i="1"/>
  <c r="AJ232" i="1"/>
  <c r="AJ233" i="1"/>
  <c r="AJ234" i="1"/>
  <c r="AJ235" i="1"/>
  <c r="AJ236" i="1"/>
  <c r="AJ237" i="1"/>
  <c r="AJ238" i="1"/>
  <c r="AJ239" i="1"/>
  <c r="AJ240" i="1"/>
  <c r="AJ241" i="1"/>
  <c r="AJ242" i="1"/>
  <c r="AJ243" i="1"/>
  <c r="AJ244" i="1"/>
  <c r="AJ245" i="1"/>
  <c r="AJ246" i="1"/>
  <c r="AJ247" i="1"/>
  <c r="AJ248" i="1"/>
  <c r="AJ249" i="1"/>
  <c r="AJ250" i="1"/>
  <c r="AJ251" i="1"/>
  <c r="AJ252" i="1"/>
  <c r="AJ253" i="1"/>
  <c r="AJ254" i="1"/>
  <c r="AJ255" i="1"/>
  <c r="AJ256" i="1"/>
  <c r="AJ257" i="1"/>
  <c r="AJ258" i="1"/>
  <c r="AJ259" i="1"/>
  <c r="AJ260" i="1"/>
  <c r="AJ261" i="1"/>
  <c r="AJ262" i="1"/>
  <c r="AJ263" i="1"/>
  <c r="AJ264" i="1"/>
  <c r="AJ265" i="1"/>
  <c r="AJ266" i="1"/>
  <c r="AJ267" i="1"/>
  <c r="AJ268" i="1"/>
  <c r="AJ269" i="1"/>
  <c r="AJ270" i="1"/>
  <c r="AJ271" i="1"/>
  <c r="AJ272" i="1"/>
  <c r="AJ273" i="1"/>
  <c r="AJ274" i="1"/>
  <c r="AJ275" i="1"/>
  <c r="AJ276" i="1"/>
  <c r="AJ277" i="1"/>
  <c r="AJ278" i="1"/>
  <c r="AJ279" i="1"/>
  <c r="AJ280" i="1"/>
  <c r="AJ281" i="1"/>
  <c r="AJ282" i="1"/>
  <c r="AJ283" i="1"/>
  <c r="AJ284" i="1"/>
  <c r="AJ285" i="1"/>
  <c r="AJ286" i="1"/>
  <c r="AJ287" i="1"/>
  <c r="AJ288" i="1"/>
  <c r="AJ289" i="1"/>
  <c r="AJ290" i="1"/>
  <c r="AJ291" i="1"/>
  <c r="AJ292" i="1"/>
  <c r="AJ293" i="1"/>
  <c r="AJ294" i="1"/>
  <c r="AJ295" i="1"/>
  <c r="AJ296" i="1"/>
  <c r="AJ297" i="1"/>
  <c r="AJ298" i="1"/>
  <c r="AJ299" i="1"/>
  <c r="AJ300" i="1"/>
  <c r="AJ301" i="1"/>
  <c r="AJ302" i="1"/>
  <c r="AJ303" i="1"/>
  <c r="AJ304" i="1"/>
  <c r="AJ305" i="1"/>
  <c r="AJ306" i="1"/>
  <c r="AJ307" i="1"/>
  <c r="AJ308" i="1"/>
  <c r="AJ309" i="1"/>
  <c r="AJ310" i="1"/>
  <c r="AJ311" i="1"/>
  <c r="AJ312" i="1"/>
  <c r="AJ313" i="1"/>
  <c r="AJ314" i="1"/>
  <c r="AJ315" i="1"/>
  <c r="AJ316" i="1"/>
  <c r="AJ317" i="1"/>
  <c r="AJ318" i="1"/>
  <c r="AJ319" i="1"/>
  <c r="AJ320" i="1"/>
  <c r="AJ321" i="1"/>
  <c r="AJ322" i="1"/>
  <c r="AJ323" i="1"/>
  <c r="AJ324" i="1"/>
  <c r="AJ325" i="1"/>
  <c r="AJ326" i="1"/>
  <c r="AJ327" i="1"/>
  <c r="AJ328" i="1"/>
  <c r="AJ329" i="1"/>
  <c r="AJ330" i="1"/>
  <c r="AJ331" i="1"/>
  <c r="AJ332" i="1"/>
  <c r="AJ333" i="1"/>
  <c r="AJ334" i="1"/>
  <c r="AJ335" i="1"/>
  <c r="AJ336" i="1"/>
  <c r="AJ337" i="1"/>
  <c r="AJ338" i="1"/>
  <c r="AJ339" i="1"/>
  <c r="AJ340" i="1"/>
  <c r="AJ341" i="1"/>
  <c r="AJ342" i="1"/>
  <c r="AJ343" i="1"/>
  <c r="AJ344" i="1"/>
  <c r="AJ345" i="1"/>
  <c r="AJ346" i="1"/>
  <c r="AJ347" i="1"/>
  <c r="AJ348" i="1"/>
  <c r="AJ349" i="1"/>
  <c r="AJ350" i="1"/>
  <c r="AJ351" i="1"/>
  <c r="AJ352" i="1"/>
  <c r="AJ353" i="1"/>
  <c r="AJ354" i="1"/>
  <c r="AJ355" i="1"/>
  <c r="AJ356" i="1"/>
  <c r="AJ357" i="1"/>
  <c r="AJ358" i="1"/>
  <c r="AJ359" i="1"/>
  <c r="AJ360" i="1"/>
  <c r="AJ361" i="1"/>
  <c r="AJ362" i="1"/>
  <c r="AJ363" i="1"/>
  <c r="AJ364" i="1"/>
  <c r="AJ365" i="1"/>
  <c r="AJ366" i="1"/>
  <c r="AJ367" i="1"/>
  <c r="AJ368" i="1"/>
  <c r="AJ369" i="1"/>
  <c r="AJ370" i="1"/>
  <c r="AJ371" i="1"/>
  <c r="AJ372" i="1"/>
  <c r="AJ373" i="1"/>
  <c r="AJ374" i="1"/>
  <c r="AJ375" i="1"/>
  <c r="AJ376" i="1"/>
  <c r="AJ377" i="1"/>
  <c r="AJ378" i="1"/>
  <c r="AJ379" i="1"/>
  <c r="AJ380" i="1"/>
  <c r="AJ381" i="1"/>
  <c r="AJ382" i="1"/>
  <c r="AJ383" i="1"/>
  <c r="AJ384" i="1"/>
  <c r="AJ385" i="1"/>
  <c r="AJ386" i="1"/>
  <c r="AJ387" i="1"/>
  <c r="AJ388" i="1"/>
  <c r="AJ389" i="1"/>
  <c r="AJ390" i="1"/>
  <c r="AJ391" i="1"/>
  <c r="AJ392" i="1"/>
  <c r="AJ393" i="1"/>
  <c r="AJ394" i="1"/>
  <c r="AJ395" i="1"/>
  <c r="AJ396" i="1"/>
  <c r="AJ397" i="1"/>
  <c r="AJ398" i="1"/>
  <c r="AJ399" i="1"/>
  <c r="AJ400" i="1"/>
  <c r="AJ401" i="1"/>
  <c r="AJ402" i="1"/>
  <c r="AJ403" i="1"/>
  <c r="AJ404" i="1"/>
  <c r="AJ405" i="1"/>
  <c r="AJ406" i="1"/>
  <c r="AJ407" i="1"/>
  <c r="AJ408" i="1"/>
  <c r="AJ409" i="1"/>
  <c r="AJ410" i="1"/>
  <c r="AJ411" i="1"/>
  <c r="AJ412" i="1"/>
  <c r="AJ413" i="1"/>
  <c r="AJ414" i="1"/>
  <c r="AJ415" i="1"/>
  <c r="AJ416" i="1"/>
  <c r="AJ417" i="1"/>
  <c r="AJ418" i="1"/>
  <c r="AJ419" i="1"/>
  <c r="AJ420" i="1"/>
  <c r="AJ421" i="1"/>
  <c r="AJ422" i="1"/>
  <c r="AJ423" i="1"/>
  <c r="AJ424" i="1"/>
  <c r="AJ425" i="1"/>
  <c r="AJ426" i="1"/>
  <c r="AJ427" i="1"/>
  <c r="AJ428" i="1"/>
  <c r="AJ429" i="1"/>
  <c r="AJ430" i="1"/>
  <c r="AJ431" i="1"/>
  <c r="AJ432" i="1"/>
  <c r="AJ433" i="1"/>
  <c r="AJ434" i="1"/>
  <c r="AJ435" i="1"/>
  <c r="AJ436" i="1"/>
  <c r="AJ437" i="1"/>
  <c r="AJ438" i="1"/>
  <c r="AJ439" i="1"/>
  <c r="AJ440" i="1"/>
  <c r="AJ441" i="1"/>
  <c r="AJ442" i="1"/>
  <c r="AJ443" i="1"/>
  <c r="AJ444" i="1"/>
  <c r="AJ445" i="1"/>
  <c r="AJ446" i="1"/>
  <c r="AJ447" i="1"/>
  <c r="AJ448" i="1"/>
  <c r="AJ449" i="1"/>
  <c r="AJ450" i="1"/>
  <c r="AJ451" i="1"/>
  <c r="AJ452" i="1"/>
  <c r="AJ453" i="1"/>
  <c r="AJ454" i="1"/>
  <c r="AJ455" i="1"/>
  <c r="AJ456" i="1"/>
  <c r="AJ457" i="1"/>
  <c r="AJ458" i="1"/>
  <c r="AJ459" i="1"/>
  <c r="AJ460" i="1"/>
  <c r="AJ461" i="1"/>
  <c r="AJ462" i="1"/>
  <c r="AJ463" i="1"/>
  <c r="AJ464" i="1"/>
  <c r="AJ465" i="1"/>
  <c r="AJ466" i="1"/>
  <c r="AJ467" i="1"/>
  <c r="AJ468" i="1"/>
  <c r="AJ469" i="1"/>
  <c r="AJ470" i="1"/>
  <c r="AJ471" i="1"/>
  <c r="AJ472" i="1"/>
  <c r="AJ473" i="1"/>
  <c r="AJ474" i="1"/>
  <c r="AJ475" i="1"/>
  <c r="AJ476" i="1"/>
  <c r="AJ477" i="1"/>
  <c r="AJ478" i="1"/>
  <c r="AJ479" i="1"/>
  <c r="AJ480" i="1"/>
  <c r="AJ481" i="1"/>
  <c r="AJ482" i="1"/>
  <c r="AJ483" i="1"/>
  <c r="AJ484" i="1"/>
  <c r="AJ485" i="1"/>
  <c r="AJ486" i="1"/>
  <c r="AJ487" i="1"/>
  <c r="AJ488" i="1"/>
  <c r="AJ489" i="1"/>
  <c r="AJ490" i="1"/>
  <c r="AJ491" i="1"/>
  <c r="AJ492" i="1"/>
  <c r="AJ493" i="1"/>
  <c r="AJ494" i="1"/>
  <c r="AJ495" i="1"/>
  <c r="AJ496" i="1"/>
  <c r="AJ497" i="1"/>
  <c r="AJ498" i="1"/>
  <c r="AJ499" i="1"/>
  <c r="AJ500" i="1"/>
  <c r="AJ501" i="1"/>
  <c r="AJ502" i="1"/>
  <c r="AJ503" i="1"/>
  <c r="AJ504" i="1"/>
  <c r="AJ505" i="1"/>
  <c r="AJ506" i="1"/>
  <c r="AJ507" i="1"/>
  <c r="AJ508" i="1"/>
  <c r="AJ509" i="1"/>
  <c r="AJ510" i="1"/>
  <c r="AJ511" i="1"/>
  <c r="AJ512" i="1"/>
  <c r="AJ513" i="1"/>
  <c r="AJ514" i="1"/>
  <c r="AJ515" i="1"/>
  <c r="AJ516" i="1"/>
  <c r="AJ517" i="1"/>
  <c r="AJ518" i="1"/>
  <c r="AJ519" i="1"/>
  <c r="AJ520" i="1"/>
  <c r="AJ521" i="1"/>
  <c r="AJ522" i="1"/>
  <c r="AJ523" i="1"/>
  <c r="AJ524" i="1"/>
  <c r="AJ525" i="1"/>
  <c r="AJ526" i="1"/>
  <c r="AJ527" i="1"/>
  <c r="AJ528" i="1"/>
  <c r="AJ529" i="1"/>
  <c r="AJ530" i="1"/>
  <c r="AJ531" i="1"/>
  <c r="AJ532" i="1"/>
  <c r="AJ533" i="1"/>
  <c r="AJ534" i="1"/>
  <c r="AJ535" i="1"/>
  <c r="AJ536" i="1"/>
  <c r="AJ537" i="1"/>
  <c r="AJ538" i="1"/>
  <c r="AJ539" i="1"/>
  <c r="AJ540" i="1"/>
  <c r="AJ541" i="1"/>
  <c r="AJ542" i="1"/>
  <c r="AJ543" i="1"/>
  <c r="AJ544" i="1"/>
  <c r="AJ545" i="1"/>
  <c r="AJ546" i="1"/>
  <c r="AJ547" i="1"/>
  <c r="AJ548" i="1"/>
  <c r="AJ549" i="1"/>
  <c r="AJ550" i="1"/>
  <c r="AJ551" i="1"/>
  <c r="AJ552" i="1"/>
  <c r="AJ553" i="1"/>
  <c r="AJ554" i="1"/>
  <c r="AJ555" i="1"/>
  <c r="AJ556" i="1"/>
  <c r="AJ557" i="1"/>
  <c r="AJ558" i="1"/>
  <c r="AJ559" i="1"/>
  <c r="AJ560" i="1"/>
  <c r="AJ561" i="1"/>
  <c r="AJ562" i="1"/>
  <c r="AJ563" i="1"/>
  <c r="AJ564" i="1"/>
  <c r="AJ565" i="1"/>
  <c r="AJ566" i="1"/>
  <c r="AJ567" i="1"/>
  <c r="AJ568" i="1"/>
  <c r="AJ569" i="1"/>
  <c r="AJ570" i="1"/>
  <c r="AJ571" i="1"/>
  <c r="AJ572" i="1"/>
  <c r="AJ573" i="1"/>
  <c r="AJ574" i="1"/>
  <c r="AJ575" i="1"/>
  <c r="AJ576" i="1"/>
  <c r="AJ577" i="1"/>
  <c r="AJ578" i="1"/>
  <c r="AJ579" i="1"/>
  <c r="AJ580" i="1"/>
  <c r="AJ581" i="1"/>
  <c r="AJ582" i="1"/>
  <c r="AJ583" i="1"/>
  <c r="AJ584" i="1"/>
  <c r="AJ585" i="1"/>
  <c r="AJ586" i="1"/>
  <c r="AJ587" i="1"/>
  <c r="AJ588" i="1"/>
  <c r="AJ589" i="1"/>
  <c r="AJ590" i="1"/>
  <c r="AJ591" i="1"/>
  <c r="AJ592" i="1"/>
  <c r="AJ593" i="1"/>
  <c r="AJ594" i="1"/>
  <c r="AJ595" i="1"/>
  <c r="AJ596" i="1"/>
  <c r="AJ597" i="1"/>
  <c r="AJ598" i="1"/>
  <c r="AJ599" i="1"/>
  <c r="AJ600" i="1"/>
  <c r="AJ601" i="1"/>
  <c r="AJ602" i="1"/>
  <c r="AJ603" i="1"/>
  <c r="AJ604" i="1"/>
  <c r="AJ605" i="1"/>
  <c r="AJ606" i="1"/>
  <c r="AJ607" i="1"/>
  <c r="AJ608" i="1"/>
  <c r="AJ609" i="1"/>
  <c r="AJ610" i="1"/>
  <c r="AJ611" i="1"/>
  <c r="AJ612" i="1"/>
  <c r="AJ613" i="1"/>
  <c r="AJ614" i="1"/>
  <c r="AJ615" i="1"/>
  <c r="AJ616" i="1"/>
  <c r="AJ617" i="1"/>
  <c r="AJ618" i="1"/>
  <c r="AJ619" i="1"/>
  <c r="AJ620" i="1"/>
  <c r="AJ621" i="1"/>
  <c r="AJ622" i="1"/>
  <c r="AJ623" i="1"/>
  <c r="AJ624" i="1"/>
  <c r="AJ625" i="1"/>
  <c r="AJ626" i="1"/>
  <c r="AJ627" i="1"/>
  <c r="AJ628" i="1"/>
  <c r="AJ629" i="1"/>
  <c r="AJ630" i="1"/>
  <c r="AJ631" i="1"/>
  <c r="AJ632" i="1"/>
  <c r="AJ633" i="1"/>
  <c r="AJ634" i="1"/>
  <c r="AJ635" i="1"/>
  <c r="AJ636" i="1"/>
  <c r="AJ637" i="1"/>
  <c r="AJ638" i="1"/>
  <c r="AJ639" i="1"/>
  <c r="AJ640" i="1"/>
  <c r="AJ641" i="1"/>
  <c r="AJ642" i="1"/>
  <c r="AJ643" i="1"/>
  <c r="AJ644" i="1"/>
  <c r="AJ645" i="1"/>
  <c r="AJ646" i="1"/>
  <c r="AJ647" i="1"/>
  <c r="AJ648" i="1"/>
  <c r="AJ649" i="1"/>
  <c r="AJ650" i="1"/>
  <c r="AJ651" i="1"/>
  <c r="AJ652" i="1"/>
  <c r="AJ653" i="1"/>
  <c r="AJ654" i="1"/>
  <c r="AJ655" i="1"/>
  <c r="AJ656" i="1"/>
  <c r="AJ657" i="1"/>
  <c r="AJ658" i="1"/>
  <c r="AJ659" i="1"/>
  <c r="AJ660" i="1"/>
  <c r="AJ661" i="1"/>
  <c r="AJ662" i="1"/>
  <c r="AJ663" i="1"/>
  <c r="AJ664" i="1"/>
  <c r="AJ665" i="1"/>
  <c r="AJ666" i="1"/>
  <c r="AJ667" i="1"/>
  <c r="AJ668" i="1"/>
  <c r="AJ669" i="1"/>
  <c r="AJ670" i="1"/>
  <c r="AJ671" i="1"/>
  <c r="AJ672" i="1"/>
  <c r="AJ673" i="1"/>
  <c r="AJ674" i="1"/>
  <c r="AJ675" i="1"/>
  <c r="AJ676" i="1"/>
  <c r="AJ677" i="1"/>
  <c r="AJ678" i="1"/>
  <c r="AJ679" i="1"/>
  <c r="AJ680" i="1"/>
  <c r="AJ681" i="1"/>
  <c r="AJ682" i="1"/>
  <c r="AJ683" i="1"/>
  <c r="AJ684" i="1"/>
  <c r="AJ685" i="1"/>
  <c r="AJ686" i="1"/>
  <c r="AJ687" i="1"/>
  <c r="AJ688" i="1"/>
  <c r="AJ689" i="1"/>
  <c r="AJ690" i="1"/>
  <c r="AJ691" i="1"/>
  <c r="AJ692" i="1"/>
  <c r="AJ693" i="1"/>
  <c r="AJ694" i="1"/>
  <c r="AJ695" i="1"/>
  <c r="AJ696" i="1"/>
  <c r="AJ697" i="1"/>
  <c r="AJ698" i="1"/>
  <c r="AJ699" i="1"/>
  <c r="AJ700" i="1"/>
  <c r="AJ701" i="1"/>
  <c r="AJ702" i="1"/>
  <c r="AJ703" i="1"/>
  <c r="AJ704" i="1"/>
  <c r="AJ705" i="1"/>
  <c r="AJ706" i="1"/>
  <c r="AJ707" i="1"/>
  <c r="AJ708" i="1"/>
  <c r="AJ709" i="1"/>
  <c r="AJ710" i="1"/>
  <c r="AJ711" i="1"/>
  <c r="AJ712" i="1"/>
  <c r="AJ713" i="1"/>
  <c r="AJ714" i="1"/>
  <c r="AJ715" i="1"/>
  <c r="AJ716" i="1"/>
  <c r="AJ717" i="1"/>
  <c r="AJ718" i="1"/>
  <c r="AJ719" i="1"/>
  <c r="AJ720" i="1"/>
  <c r="AJ721" i="1"/>
  <c r="AJ722" i="1"/>
  <c r="AJ723" i="1"/>
  <c r="AJ724" i="1"/>
  <c r="AJ725" i="1"/>
  <c r="AJ726" i="1"/>
  <c r="AJ727" i="1"/>
  <c r="AJ728" i="1"/>
  <c r="AJ729" i="1"/>
  <c r="AJ730" i="1"/>
  <c r="AJ731" i="1"/>
  <c r="AJ732" i="1"/>
  <c r="AJ733" i="1"/>
  <c r="AJ734" i="1"/>
  <c r="AJ735" i="1"/>
  <c r="AJ736" i="1"/>
  <c r="AJ737" i="1"/>
  <c r="AJ738" i="1"/>
  <c r="AJ739" i="1"/>
  <c r="AJ740" i="1"/>
  <c r="AJ741" i="1"/>
  <c r="AJ742" i="1"/>
  <c r="AJ743" i="1"/>
  <c r="AJ744" i="1"/>
  <c r="AJ745" i="1"/>
  <c r="AJ746" i="1"/>
  <c r="AJ747" i="1"/>
  <c r="AJ748" i="1"/>
  <c r="AJ749" i="1"/>
  <c r="AJ750" i="1"/>
  <c r="AJ751" i="1"/>
  <c r="AJ752" i="1"/>
  <c r="AJ753" i="1"/>
  <c r="AJ754" i="1"/>
  <c r="AJ755" i="1"/>
  <c r="AJ756" i="1"/>
  <c r="AJ757" i="1"/>
  <c r="AJ758" i="1"/>
  <c r="AJ759" i="1"/>
  <c r="AJ760" i="1"/>
  <c r="AJ761" i="1"/>
  <c r="AJ762" i="1"/>
  <c r="AJ763" i="1"/>
  <c r="AJ764" i="1"/>
  <c r="AJ765" i="1"/>
  <c r="AJ766" i="1"/>
  <c r="AJ767" i="1"/>
  <c r="AJ768" i="1"/>
  <c r="AJ769" i="1"/>
  <c r="AJ770" i="1"/>
  <c r="AJ771" i="1"/>
  <c r="AJ772" i="1"/>
  <c r="AJ773" i="1"/>
  <c r="AJ774" i="1"/>
  <c r="AJ775" i="1"/>
  <c r="AJ776" i="1"/>
  <c r="AJ777" i="1"/>
  <c r="AJ778" i="1"/>
  <c r="AJ779" i="1"/>
  <c r="AJ780" i="1"/>
  <c r="AJ781" i="1"/>
  <c r="AJ782" i="1"/>
  <c r="AJ783" i="1"/>
  <c r="AJ784" i="1"/>
  <c r="AJ785" i="1"/>
  <c r="AJ786" i="1"/>
  <c r="AJ787" i="1"/>
  <c r="AJ788" i="1"/>
  <c r="AJ789" i="1"/>
  <c r="AJ790" i="1"/>
  <c r="AJ791" i="1"/>
  <c r="AJ792" i="1"/>
  <c r="AJ793" i="1"/>
  <c r="AJ794" i="1"/>
  <c r="AJ795" i="1"/>
  <c r="AJ796" i="1"/>
  <c r="AJ797" i="1"/>
  <c r="AJ798" i="1"/>
  <c r="AJ799" i="1"/>
  <c r="AJ800" i="1"/>
  <c r="AJ801" i="1"/>
  <c r="AJ802" i="1"/>
  <c r="AJ803" i="1"/>
  <c r="AJ804" i="1"/>
  <c r="AJ805" i="1"/>
  <c r="AJ806" i="1"/>
  <c r="AJ807" i="1"/>
  <c r="AJ808" i="1"/>
  <c r="AJ809" i="1"/>
  <c r="AJ810" i="1"/>
  <c r="AJ811" i="1"/>
  <c r="AJ812" i="1"/>
  <c r="AJ813" i="1"/>
  <c r="AJ814" i="1"/>
  <c r="AJ815" i="1"/>
  <c r="AJ816" i="1"/>
  <c r="AJ817" i="1"/>
  <c r="AJ818" i="1"/>
  <c r="AJ819" i="1"/>
  <c r="AJ820" i="1"/>
  <c r="AJ821" i="1"/>
  <c r="AJ822" i="1"/>
  <c r="AJ823" i="1"/>
  <c r="AJ824" i="1"/>
  <c r="AJ825" i="1"/>
  <c r="AJ826" i="1"/>
  <c r="AJ827" i="1"/>
  <c r="AJ828" i="1"/>
  <c r="AJ829" i="1"/>
  <c r="AJ830" i="1"/>
  <c r="AJ831" i="1"/>
  <c r="AJ832" i="1"/>
  <c r="AJ833" i="1"/>
  <c r="AJ834" i="1"/>
  <c r="AJ835" i="1"/>
  <c r="AJ836" i="1"/>
  <c r="AJ837" i="1"/>
  <c r="AJ838" i="1"/>
  <c r="AJ839" i="1"/>
  <c r="AJ840" i="1"/>
  <c r="AJ841" i="1"/>
  <c r="AJ842" i="1"/>
  <c r="AJ843" i="1"/>
  <c r="AJ844" i="1"/>
  <c r="AJ845" i="1"/>
  <c r="AJ846" i="1"/>
  <c r="AJ847" i="1"/>
  <c r="AJ848" i="1"/>
  <c r="AJ849" i="1"/>
  <c r="AJ850" i="1"/>
  <c r="AJ851" i="1"/>
  <c r="AJ852" i="1"/>
  <c r="AJ853" i="1"/>
  <c r="AJ854" i="1"/>
  <c r="AJ855" i="1"/>
  <c r="AJ856" i="1"/>
  <c r="AJ857" i="1"/>
  <c r="AJ858" i="1"/>
  <c r="AJ859" i="1"/>
  <c r="AJ860" i="1"/>
  <c r="AJ861" i="1"/>
  <c r="AJ862" i="1"/>
  <c r="AJ863" i="1"/>
  <c r="AJ864" i="1"/>
  <c r="AJ865" i="1"/>
  <c r="AJ866" i="1"/>
  <c r="AJ867" i="1"/>
  <c r="AJ868" i="1"/>
  <c r="AJ869" i="1"/>
  <c r="AJ870" i="1"/>
  <c r="AJ871" i="1"/>
  <c r="AJ872" i="1"/>
  <c r="AJ873" i="1"/>
  <c r="AJ874" i="1"/>
  <c r="AJ875" i="1"/>
  <c r="AJ876" i="1"/>
  <c r="AJ877" i="1"/>
  <c r="AJ878" i="1"/>
  <c r="AJ879" i="1"/>
  <c r="AJ880" i="1"/>
  <c r="AJ881" i="1"/>
  <c r="AJ882" i="1"/>
  <c r="AJ883" i="1"/>
  <c r="AJ884" i="1"/>
  <c r="AJ885" i="1"/>
  <c r="AJ886" i="1"/>
  <c r="AJ887" i="1"/>
  <c r="AJ888" i="1"/>
  <c r="AJ889" i="1"/>
  <c r="AJ890" i="1"/>
  <c r="AJ891" i="1"/>
  <c r="AJ892" i="1"/>
  <c r="AJ893" i="1"/>
  <c r="AJ894" i="1"/>
  <c r="AJ895" i="1"/>
  <c r="AJ896" i="1"/>
  <c r="AJ897" i="1"/>
  <c r="AJ898" i="1"/>
  <c r="AJ899" i="1"/>
  <c r="AJ900" i="1"/>
  <c r="AJ901" i="1"/>
  <c r="AJ902" i="1"/>
  <c r="AJ903" i="1"/>
  <c r="AJ904" i="1"/>
  <c r="AJ905" i="1"/>
  <c r="AJ906" i="1"/>
  <c r="AJ907" i="1"/>
  <c r="AJ908" i="1"/>
  <c r="AJ909" i="1"/>
  <c r="AJ910" i="1"/>
  <c r="AJ911" i="1"/>
  <c r="AJ912" i="1"/>
  <c r="AJ913" i="1"/>
  <c r="AJ914" i="1"/>
  <c r="AJ915" i="1"/>
  <c r="AJ916" i="1"/>
  <c r="AJ917" i="1"/>
  <c r="AJ918" i="1"/>
  <c r="AJ919" i="1"/>
  <c r="AJ920" i="1"/>
  <c r="AJ921" i="1"/>
  <c r="AJ922" i="1"/>
  <c r="AJ923" i="1"/>
  <c r="AJ924" i="1"/>
  <c r="AJ925" i="1"/>
  <c r="AJ926" i="1"/>
  <c r="AJ927" i="1"/>
  <c r="AJ928" i="1"/>
  <c r="AJ929" i="1"/>
  <c r="AJ930" i="1"/>
  <c r="AJ931" i="1"/>
  <c r="AJ932" i="1"/>
  <c r="AJ933" i="1"/>
  <c r="AJ934" i="1"/>
  <c r="AJ935" i="1"/>
  <c r="AJ936" i="1"/>
  <c r="AJ937" i="1"/>
  <c r="AJ938" i="1"/>
  <c r="AJ939" i="1"/>
  <c r="AJ940" i="1"/>
  <c r="AJ941" i="1"/>
  <c r="AJ942" i="1"/>
  <c r="AJ943" i="1"/>
  <c r="AJ944" i="1"/>
  <c r="AJ945" i="1"/>
  <c r="AJ946" i="1"/>
  <c r="AJ947" i="1"/>
  <c r="AJ948" i="1"/>
  <c r="AJ949" i="1"/>
  <c r="AJ950" i="1"/>
  <c r="AJ951" i="1"/>
  <c r="AJ952" i="1"/>
  <c r="AJ953" i="1"/>
  <c r="AJ954" i="1"/>
  <c r="AJ955" i="1"/>
  <c r="AJ956" i="1"/>
  <c r="AJ957" i="1"/>
  <c r="AJ958" i="1"/>
  <c r="AJ959" i="1"/>
  <c r="AJ960" i="1"/>
  <c r="AJ961" i="1"/>
  <c r="AJ962" i="1"/>
  <c r="AJ963" i="1"/>
  <c r="AJ964" i="1"/>
  <c r="AJ965" i="1"/>
  <c r="AJ966" i="1"/>
  <c r="AJ967" i="1"/>
  <c r="AJ968" i="1"/>
  <c r="AJ969" i="1"/>
  <c r="AJ970" i="1"/>
  <c r="AJ971" i="1"/>
  <c r="AJ972" i="1"/>
  <c r="AJ973" i="1"/>
  <c r="AJ974" i="1"/>
  <c r="AJ975" i="1"/>
  <c r="AJ976" i="1"/>
  <c r="AJ977" i="1"/>
  <c r="AJ978" i="1"/>
  <c r="AJ979" i="1"/>
  <c r="AJ980" i="1"/>
  <c r="AJ981" i="1"/>
  <c r="AJ982" i="1"/>
  <c r="AJ983" i="1"/>
  <c r="AJ984" i="1"/>
  <c r="AJ985" i="1"/>
  <c r="AJ986" i="1"/>
  <c r="AJ987" i="1"/>
  <c r="AJ988" i="1"/>
  <c r="AJ989" i="1"/>
  <c r="AJ990" i="1"/>
  <c r="AJ991" i="1"/>
  <c r="AJ992" i="1"/>
  <c r="AJ993" i="1"/>
  <c r="AJ994" i="1"/>
  <c r="AJ995" i="1"/>
  <c r="AJ996" i="1"/>
  <c r="AJ997" i="1"/>
  <c r="AJ998" i="1"/>
  <c r="AJ999" i="1"/>
  <c r="AJ1000" i="1"/>
  <c r="AJ1001" i="1"/>
  <c r="AJ1002" i="1"/>
  <c r="AJ1003" i="1"/>
  <c r="AJ1004" i="1"/>
  <c r="AJ1005" i="1"/>
  <c r="AJ1006" i="1"/>
  <c r="AJ1007" i="1"/>
  <c r="AJ1008" i="1"/>
  <c r="AJ1009" i="1"/>
  <c r="AJ1010" i="1"/>
  <c r="AJ1011" i="1"/>
  <c r="AJ1012" i="1"/>
  <c r="AJ1013" i="1"/>
  <c r="AJ1014" i="1"/>
  <c r="AJ1015" i="1"/>
  <c r="AJ1016" i="1"/>
  <c r="AJ1017" i="1"/>
  <c r="AJ1018" i="1"/>
  <c r="AJ1019" i="1"/>
  <c r="AJ1020" i="1"/>
  <c r="AJ1021" i="1"/>
  <c r="AJ1022" i="1"/>
  <c r="AJ1023" i="1"/>
  <c r="AJ1024" i="1"/>
  <c r="AJ1025" i="1"/>
  <c r="AJ1026" i="1"/>
  <c r="AJ1027" i="1"/>
  <c r="AJ1028" i="1"/>
  <c r="AJ1029" i="1"/>
  <c r="AJ1030" i="1"/>
  <c r="AJ1031" i="1"/>
  <c r="AJ1032" i="1"/>
  <c r="AJ1033" i="1"/>
  <c r="AJ1034" i="1"/>
  <c r="AJ1035" i="1"/>
  <c r="AJ1036" i="1"/>
  <c r="AJ1037" i="1"/>
  <c r="AJ1038" i="1"/>
  <c r="AJ1039" i="1"/>
  <c r="AJ1040" i="1"/>
  <c r="AJ1041" i="1"/>
  <c r="AJ1042" i="1"/>
  <c r="AJ1043" i="1"/>
  <c r="AJ1044" i="1"/>
  <c r="AJ1045" i="1"/>
  <c r="AJ1046" i="1"/>
  <c r="AJ1047" i="1"/>
  <c r="AJ1048" i="1"/>
  <c r="AJ1049" i="1"/>
  <c r="AJ1050" i="1"/>
  <c r="AJ1051" i="1"/>
  <c r="AJ1052" i="1"/>
  <c r="AJ1053" i="1"/>
  <c r="AJ1054" i="1"/>
  <c r="AJ1055" i="1"/>
  <c r="AJ1056" i="1"/>
  <c r="AJ1057" i="1"/>
  <c r="AJ1058" i="1"/>
  <c r="AJ1059" i="1"/>
  <c r="AJ1060" i="1"/>
  <c r="AJ1061" i="1"/>
  <c r="AJ1062" i="1"/>
  <c r="AJ1063" i="1"/>
  <c r="AJ1064" i="1"/>
  <c r="AJ1065" i="1"/>
  <c r="AJ1066" i="1"/>
  <c r="AJ1067" i="1"/>
  <c r="AJ1068" i="1"/>
  <c r="AJ1069" i="1"/>
  <c r="AJ1070" i="1"/>
  <c r="AJ1071" i="1"/>
  <c r="AJ1072" i="1"/>
  <c r="AJ1073" i="1"/>
  <c r="AJ1074" i="1"/>
  <c r="AJ1075" i="1"/>
  <c r="AJ1076" i="1"/>
  <c r="AJ1077" i="1"/>
  <c r="AJ1078" i="1"/>
  <c r="AJ1079" i="1"/>
  <c r="AJ1080" i="1"/>
  <c r="AJ1081" i="1"/>
  <c r="AJ1082" i="1"/>
  <c r="AJ1083" i="1"/>
  <c r="AJ1084" i="1"/>
  <c r="AJ1085" i="1"/>
  <c r="AJ1086" i="1"/>
  <c r="AJ1087" i="1"/>
  <c r="AJ1088" i="1"/>
  <c r="AJ1089" i="1"/>
  <c r="AJ1090" i="1"/>
  <c r="AJ1091" i="1"/>
  <c r="AJ1092" i="1"/>
  <c r="AJ1093" i="1"/>
  <c r="AJ1094" i="1"/>
  <c r="AJ1095" i="1"/>
  <c r="AJ1096" i="1"/>
  <c r="AJ1097" i="1"/>
  <c r="AJ1098" i="1"/>
  <c r="AJ1099" i="1"/>
  <c r="AJ1100" i="1"/>
  <c r="AJ1101" i="1"/>
  <c r="AJ1102" i="1"/>
  <c r="AJ1103" i="1"/>
  <c r="AJ1104" i="1"/>
  <c r="AJ1105" i="1"/>
  <c r="AJ1106" i="1"/>
  <c r="AJ1107" i="1"/>
  <c r="AJ1108" i="1"/>
  <c r="AJ1109" i="1"/>
  <c r="AJ1110" i="1"/>
  <c r="AJ1111" i="1"/>
  <c r="AJ1112" i="1"/>
  <c r="AJ1113" i="1"/>
  <c r="AJ1114" i="1"/>
  <c r="AJ1115" i="1"/>
  <c r="AJ1116" i="1"/>
  <c r="AJ1117" i="1"/>
  <c r="AJ1118" i="1"/>
  <c r="AJ1119" i="1"/>
  <c r="AJ1120" i="1"/>
  <c r="AJ1121" i="1"/>
  <c r="AJ1122" i="1"/>
  <c r="AJ1123" i="1"/>
  <c r="AJ1124" i="1"/>
  <c r="AJ1125" i="1"/>
  <c r="AJ1126" i="1"/>
  <c r="AJ1127" i="1"/>
  <c r="AJ1128" i="1"/>
  <c r="AJ1129" i="1"/>
  <c r="AJ1130" i="1"/>
  <c r="AJ1131" i="1"/>
  <c r="AJ1132" i="1"/>
  <c r="AJ1133" i="1"/>
  <c r="AJ1134" i="1"/>
  <c r="AJ1135" i="1"/>
  <c r="AJ1136" i="1"/>
  <c r="AJ1137" i="1"/>
  <c r="AJ1138" i="1"/>
  <c r="AJ1139" i="1"/>
  <c r="AJ1140" i="1"/>
  <c r="AJ1141" i="1"/>
  <c r="AJ1142" i="1"/>
  <c r="AJ1143" i="1"/>
  <c r="AJ1144" i="1"/>
  <c r="AJ1145" i="1"/>
  <c r="AJ1146" i="1"/>
  <c r="AJ1147" i="1"/>
  <c r="AJ1148" i="1"/>
  <c r="AJ1149" i="1"/>
  <c r="AJ1150" i="1"/>
  <c r="AJ1151" i="1"/>
  <c r="AJ1152" i="1"/>
  <c r="AJ1153" i="1"/>
  <c r="AJ1154" i="1"/>
  <c r="AJ1155" i="1"/>
  <c r="AJ1156" i="1"/>
  <c r="AJ1157" i="1"/>
  <c r="AJ1158" i="1"/>
  <c r="AJ1159" i="1"/>
  <c r="AJ1160" i="1"/>
  <c r="AJ1161" i="1"/>
  <c r="AJ1162" i="1"/>
  <c r="AJ1163" i="1"/>
  <c r="AJ1164" i="1"/>
  <c r="AJ1165" i="1"/>
  <c r="AJ1166" i="1"/>
  <c r="AJ1167" i="1"/>
  <c r="AJ1168" i="1"/>
  <c r="AJ1169" i="1"/>
  <c r="AJ1170" i="1"/>
  <c r="AJ1171" i="1"/>
  <c r="AJ1172" i="1"/>
  <c r="AJ1173" i="1"/>
  <c r="AJ1174" i="1"/>
  <c r="AJ1175" i="1"/>
  <c r="AJ1176" i="1"/>
  <c r="AJ1177" i="1"/>
  <c r="AJ1178" i="1"/>
  <c r="AJ1179" i="1"/>
  <c r="AJ1180" i="1"/>
  <c r="AJ1181" i="1"/>
  <c r="AJ1182" i="1"/>
  <c r="AJ1183" i="1"/>
  <c r="AJ1184" i="1"/>
  <c r="AJ1185" i="1"/>
  <c r="AJ1186" i="1"/>
  <c r="AJ1187" i="1"/>
  <c r="AJ1188" i="1"/>
  <c r="AJ1189" i="1"/>
  <c r="AJ1190" i="1"/>
  <c r="AJ1191" i="1"/>
  <c r="AJ1192" i="1"/>
  <c r="AJ1193" i="1"/>
  <c r="AJ1194" i="1"/>
  <c r="AJ1195" i="1"/>
  <c r="AJ1196" i="1"/>
  <c r="AJ1197" i="1"/>
  <c r="AJ1198" i="1"/>
  <c r="AJ1199" i="1"/>
  <c r="AJ1200" i="1"/>
  <c r="AJ1201" i="1"/>
  <c r="AJ1202" i="1"/>
  <c r="AJ1203" i="1"/>
  <c r="AJ1204" i="1"/>
  <c r="AJ1205" i="1"/>
  <c r="AJ1206" i="1"/>
  <c r="AJ1207" i="1"/>
  <c r="AJ1208" i="1"/>
  <c r="AJ1209" i="1"/>
  <c r="AJ1210" i="1"/>
  <c r="AJ1211" i="1"/>
  <c r="AJ1212" i="1"/>
  <c r="AJ1213" i="1"/>
  <c r="AJ1214" i="1"/>
  <c r="AJ1215" i="1"/>
  <c r="AJ1216" i="1"/>
  <c r="AJ1217" i="1"/>
  <c r="AJ1218" i="1"/>
  <c r="AJ1219" i="1"/>
  <c r="AJ1220" i="1"/>
  <c r="AJ1221" i="1"/>
  <c r="AJ1222" i="1"/>
  <c r="AJ1223" i="1"/>
  <c r="AJ1224" i="1"/>
  <c r="AJ1225" i="1"/>
  <c r="AJ1226" i="1"/>
  <c r="AJ1227" i="1"/>
  <c r="AJ1228" i="1"/>
  <c r="AJ1229" i="1"/>
  <c r="AJ1230" i="1"/>
  <c r="AJ1231" i="1"/>
  <c r="AJ1232" i="1"/>
  <c r="AJ1233" i="1"/>
  <c r="AJ1234" i="1"/>
  <c r="AJ1235" i="1"/>
  <c r="AJ1236" i="1"/>
  <c r="AJ1237" i="1"/>
  <c r="AJ1238" i="1"/>
  <c r="AJ1239" i="1"/>
  <c r="AJ1240" i="1"/>
  <c r="AJ1241" i="1"/>
  <c r="AJ1242" i="1"/>
  <c r="AJ1243" i="1"/>
  <c r="AJ1244" i="1"/>
  <c r="AJ1245" i="1"/>
  <c r="AJ1246" i="1"/>
  <c r="AJ1247" i="1"/>
  <c r="AJ1248" i="1"/>
  <c r="AJ1249" i="1"/>
  <c r="AJ1250" i="1"/>
  <c r="AJ1251" i="1"/>
  <c r="AJ1252" i="1"/>
  <c r="AJ1253" i="1"/>
  <c r="AJ1254" i="1"/>
  <c r="AJ1255" i="1"/>
  <c r="AJ1256" i="1"/>
  <c r="AJ1257" i="1"/>
  <c r="AJ1258" i="1"/>
  <c r="AJ1259" i="1"/>
  <c r="AJ1260" i="1"/>
  <c r="AJ1261" i="1"/>
  <c r="AJ1262" i="1"/>
  <c r="AJ1263" i="1"/>
  <c r="AJ1264" i="1"/>
  <c r="AJ1265" i="1"/>
  <c r="AJ1266" i="1"/>
  <c r="AJ1267" i="1"/>
  <c r="AJ1268" i="1"/>
  <c r="AJ1269" i="1"/>
  <c r="AJ1270" i="1"/>
  <c r="AJ1271" i="1"/>
  <c r="AJ1272" i="1"/>
  <c r="AJ1273" i="1"/>
  <c r="AJ1274" i="1"/>
  <c r="AJ1275" i="1"/>
  <c r="AJ1276" i="1"/>
  <c r="AJ1277" i="1"/>
  <c r="AJ1278" i="1"/>
  <c r="AJ1279" i="1"/>
  <c r="AJ1280" i="1"/>
  <c r="AJ1281" i="1"/>
  <c r="AJ1282" i="1"/>
  <c r="AJ1283" i="1"/>
  <c r="AJ1284" i="1"/>
  <c r="AJ1285" i="1"/>
  <c r="AJ1286" i="1"/>
  <c r="AJ1287" i="1"/>
  <c r="AJ1288" i="1"/>
  <c r="AJ1289" i="1"/>
  <c r="AJ1290" i="1"/>
  <c r="AJ1291" i="1"/>
  <c r="AJ1292" i="1"/>
  <c r="AJ1293" i="1"/>
  <c r="AJ1294" i="1"/>
  <c r="AJ1295" i="1"/>
  <c r="AJ1296" i="1"/>
  <c r="AJ1297" i="1"/>
  <c r="AJ1298" i="1"/>
  <c r="AJ1299" i="1"/>
  <c r="AJ1300" i="1"/>
  <c r="AJ1301" i="1"/>
  <c r="AJ1302" i="1"/>
  <c r="AJ1303" i="1"/>
  <c r="AJ1304" i="1"/>
  <c r="AJ1305" i="1"/>
  <c r="AJ1306" i="1"/>
  <c r="AJ1307" i="1"/>
  <c r="AJ1308" i="1"/>
  <c r="AJ1309" i="1"/>
  <c r="AJ1310" i="1"/>
  <c r="AJ1311" i="1"/>
  <c r="AJ1312" i="1"/>
  <c r="AJ1313" i="1"/>
  <c r="AJ1314" i="1"/>
  <c r="AJ1315" i="1"/>
  <c r="AJ1316" i="1"/>
  <c r="AJ1317" i="1"/>
  <c r="AJ1318" i="1"/>
  <c r="AJ1319" i="1"/>
  <c r="AJ1320" i="1"/>
  <c r="AJ1321" i="1"/>
  <c r="AJ1322" i="1"/>
  <c r="AJ1323" i="1"/>
  <c r="AJ1324" i="1"/>
  <c r="AJ1325" i="1"/>
  <c r="AJ1326" i="1"/>
  <c r="AJ1327" i="1"/>
  <c r="AJ1328" i="1"/>
  <c r="AJ1329" i="1"/>
  <c r="AJ1330" i="1"/>
  <c r="AJ1331" i="1"/>
  <c r="AJ1332" i="1"/>
  <c r="AJ1333" i="1"/>
  <c r="AJ1334" i="1"/>
  <c r="AJ1335" i="1"/>
  <c r="AJ1336" i="1"/>
  <c r="AJ1337" i="1"/>
  <c r="AJ1338" i="1"/>
  <c r="AJ1339" i="1"/>
  <c r="AJ1340" i="1"/>
  <c r="AJ1341" i="1"/>
  <c r="AJ1342" i="1"/>
  <c r="AJ1343" i="1"/>
  <c r="AJ1344" i="1"/>
  <c r="AJ1345" i="1"/>
  <c r="AJ1346" i="1"/>
  <c r="AJ1347" i="1"/>
  <c r="AJ1348" i="1"/>
  <c r="AJ1349" i="1"/>
  <c r="AJ1350" i="1"/>
  <c r="AJ1351" i="1"/>
  <c r="AJ1352" i="1"/>
  <c r="AJ1353" i="1"/>
  <c r="AJ1354" i="1"/>
  <c r="AJ1355" i="1"/>
  <c r="AJ1356" i="1"/>
  <c r="AJ1357" i="1"/>
  <c r="AJ1358" i="1"/>
  <c r="AJ1359" i="1"/>
  <c r="AJ1360" i="1"/>
  <c r="AJ1361" i="1"/>
  <c r="AJ1362" i="1"/>
  <c r="AJ1363" i="1"/>
  <c r="AJ1364" i="1"/>
  <c r="AJ1365" i="1"/>
  <c r="AJ1366" i="1"/>
  <c r="AJ1367" i="1"/>
  <c r="AJ1368" i="1"/>
  <c r="AJ1369" i="1"/>
  <c r="AJ1370" i="1"/>
  <c r="AJ1371" i="1"/>
  <c r="AJ1372" i="1"/>
  <c r="AJ1373" i="1"/>
  <c r="AJ1374" i="1"/>
  <c r="AJ1375" i="1"/>
  <c r="AJ1376" i="1"/>
  <c r="AJ1377" i="1"/>
  <c r="AJ1378" i="1"/>
  <c r="AJ1379" i="1"/>
  <c r="AJ1380" i="1"/>
  <c r="AJ1381" i="1"/>
  <c r="AJ1382" i="1"/>
  <c r="AJ1383" i="1"/>
  <c r="AJ1384" i="1"/>
  <c r="AJ1385" i="1"/>
  <c r="AJ1386" i="1"/>
  <c r="AJ1387" i="1"/>
  <c r="AJ1388" i="1"/>
  <c r="AJ1389" i="1"/>
  <c r="AJ1390" i="1"/>
  <c r="AJ1391" i="1"/>
  <c r="AJ1392" i="1"/>
  <c r="AJ1393" i="1"/>
  <c r="AJ1394" i="1"/>
  <c r="AJ1395" i="1"/>
  <c r="AJ1396" i="1"/>
  <c r="AJ1397" i="1"/>
  <c r="AJ1398" i="1"/>
  <c r="AJ1399" i="1"/>
  <c r="AJ1400" i="1"/>
  <c r="AJ1401" i="1"/>
  <c r="AJ1402" i="1"/>
  <c r="AJ1403" i="1"/>
  <c r="AJ1404" i="1"/>
  <c r="AJ1405" i="1"/>
  <c r="AJ1406" i="1"/>
  <c r="AJ1407" i="1"/>
  <c r="AJ1408" i="1"/>
  <c r="AJ1409" i="1"/>
  <c r="AJ1410" i="1"/>
  <c r="AJ1411" i="1"/>
  <c r="AJ1412" i="1"/>
  <c r="AJ1413" i="1"/>
  <c r="AJ1414" i="1"/>
  <c r="AJ1415" i="1"/>
  <c r="AJ1416" i="1"/>
  <c r="AJ1417" i="1"/>
  <c r="AJ1418" i="1"/>
  <c r="AJ1419" i="1"/>
  <c r="AJ1420" i="1"/>
  <c r="AJ1421" i="1"/>
  <c r="AJ1422" i="1"/>
  <c r="AJ1423" i="1"/>
  <c r="AJ1424" i="1"/>
  <c r="AJ1425" i="1"/>
  <c r="AJ1426" i="1"/>
  <c r="AJ1427" i="1"/>
  <c r="AJ1428" i="1"/>
  <c r="AJ1429" i="1"/>
  <c r="AJ1430" i="1"/>
  <c r="AJ1431" i="1"/>
  <c r="AJ1432" i="1"/>
  <c r="AJ1433" i="1"/>
  <c r="AJ1434" i="1"/>
  <c r="AJ1435" i="1"/>
  <c r="AJ1436" i="1"/>
  <c r="AJ1437" i="1"/>
  <c r="AJ1438" i="1"/>
  <c r="AJ1439" i="1"/>
  <c r="AJ1440" i="1"/>
  <c r="AJ1441" i="1"/>
  <c r="AJ1442" i="1"/>
  <c r="AJ1443" i="1"/>
  <c r="AJ1444" i="1"/>
  <c r="AJ1445" i="1"/>
  <c r="AJ1446" i="1"/>
  <c r="AJ1447" i="1"/>
  <c r="AJ1448" i="1"/>
  <c r="AJ1449" i="1"/>
  <c r="AJ1450" i="1"/>
  <c r="AJ1451" i="1"/>
  <c r="AJ1452" i="1"/>
  <c r="AJ1453" i="1"/>
  <c r="AJ1454" i="1"/>
  <c r="AJ1455" i="1"/>
  <c r="AJ1456" i="1"/>
  <c r="AJ1457" i="1"/>
  <c r="AJ1458" i="1"/>
  <c r="AJ1459" i="1"/>
  <c r="AJ1460" i="1"/>
  <c r="AJ1461" i="1"/>
  <c r="AJ1462" i="1"/>
  <c r="AJ1463" i="1"/>
  <c r="AJ1464" i="1"/>
  <c r="AJ1465" i="1"/>
  <c r="AJ1466" i="1"/>
  <c r="AJ1467" i="1"/>
  <c r="AJ1468" i="1"/>
  <c r="AJ1469" i="1"/>
  <c r="AJ1470" i="1"/>
  <c r="AJ1471" i="1"/>
  <c r="B42" i="4"/>
  <c r="E37" i="4"/>
  <c r="E38" i="4"/>
  <c r="E36" i="4"/>
  <c r="B16" i="4"/>
  <c r="E10" i="4"/>
  <c r="E11" i="4"/>
  <c r="E12" i="4"/>
  <c r="E9" i="4"/>
  <c r="C3" i="4"/>
  <c r="C2" i="4"/>
  <c r="AT4" i="1"/>
  <c r="AT5" i="1"/>
  <c r="C4" i="4" l="1"/>
  <c r="AT6" i="1"/>
</calcChain>
</file>

<file path=xl/sharedStrings.xml><?xml version="1.0" encoding="utf-8"?>
<sst xmlns="http://schemas.openxmlformats.org/spreadsheetml/2006/main" count="13525" uniqueCount="197">
  <si>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</si>
  <si>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</si>
  <si>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</si>
  <si>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</si>
  <si>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</si>
  <si>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</si>
  <si>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</si>
  <si>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</si>
  <si>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</si>
  <si>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</si>
  <si>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</si>
  <si>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</si>
  <si>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</si>
  <si>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</si>
  <si>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</si>
  <si>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</si>
  <si>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</si>
  <si>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</si>
  <si>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</si>
  <si>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</si>
  <si>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</si>
  <si>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</si>
  <si>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</si>
  <si>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</si>
  <si>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</si>
  <si>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</si>
  <si>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</si>
  <si>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</si>
  <si>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</si>
  <si>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</si>
  <si>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</si>
  <si>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</si>
  <si>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</si>
  <si>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</si>
  <si>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</si>
  <si>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</si>
  <si>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</si>
  <si>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</si>
  <si>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</si>
  <si>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</si>
  <si>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</si>
  <si>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</si>
  <si>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</si>
  <si>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</si>
  <si>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</si>
  <si>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</si>
  <si>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</si>
  <si>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</si>
  <si>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</si>
  <si>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</si>
  <si>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</si>
  <si>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</si>
  <si>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</si>
  <si>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</si>
  <si>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</si>
  <si>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</si>
  <si>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</si>
  <si>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</si>
  <si>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</si>
  <si>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</si>
  <si>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</si>
  <si>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</si>
  <si>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Metric</t>
  </si>
  <si>
    <t>Value</t>
  </si>
  <si>
    <t>Total Employees</t>
  </si>
  <si>
    <t>Employees Left</t>
  </si>
  <si>
    <t>Attrition Rate</t>
  </si>
  <si>
    <t>Q</t>
  </si>
  <si>
    <t>Question</t>
  </si>
  <si>
    <t>Answer</t>
  </si>
  <si>
    <t>Insight</t>
  </si>
  <si>
    <t>Recommendation</t>
  </si>
  <si>
    <t>What is the overall attrition rate at Adecco India?</t>
  </si>
  <si>
    <r>
      <t xml:space="preserve">Employee attrition is </t>
    </r>
    <r>
      <rPr>
        <b/>
        <sz val="11"/>
        <color theme="1"/>
        <rFont val="Aptos Narrow"/>
        <family val="2"/>
        <scheme val="minor"/>
      </rPr>
      <t>16.12%</t>
    </r>
    <r>
      <rPr>
        <sz val="11"/>
        <color theme="1"/>
        <rFont val="Aptos Narrow"/>
        <family val="2"/>
        <scheme val="minor"/>
      </rPr>
      <t>, indicating a moderate turnover rate.</t>
    </r>
  </si>
  <si>
    <t>Focus on improving employee retention through engagement and career development.</t>
  </si>
  <si>
    <r>
      <rPr>
        <b/>
        <sz val="11"/>
        <color theme="1"/>
        <rFont val="Aptos Narrow"/>
        <family val="2"/>
        <scheme val="minor"/>
      </rPr>
      <t>Total Employees</t>
    </r>
    <r>
      <rPr>
        <sz val="11"/>
        <color theme="1"/>
        <rFont val="Aptos Narrow"/>
        <family val="2"/>
        <scheme val="minor"/>
      </rPr>
      <t xml:space="preserve"> : 1470 |</t>
    </r>
    <r>
      <rPr>
        <b/>
        <sz val="11"/>
        <color theme="1"/>
        <rFont val="Aptos Narrow"/>
        <family val="2"/>
        <scheme val="minor"/>
      </rPr>
      <t xml:space="preserve"> Employee Left</t>
    </r>
    <r>
      <rPr>
        <sz val="11"/>
        <color theme="1"/>
        <rFont val="Aptos Narrow"/>
        <family val="2"/>
        <scheme val="minor"/>
      </rPr>
      <t xml:space="preserve"> : 237 | </t>
    </r>
    <r>
      <rPr>
        <b/>
        <sz val="11"/>
        <color theme="1"/>
        <rFont val="Aptos Narrow"/>
        <family val="2"/>
        <scheme val="minor"/>
      </rPr>
      <t xml:space="preserve">Arrtition Rate </t>
    </r>
    <r>
      <rPr>
        <sz val="11"/>
        <color theme="1"/>
        <rFont val="Aptos Narrow"/>
        <family val="2"/>
        <scheme val="minor"/>
      </rPr>
      <t>: 16.12%</t>
    </r>
  </si>
  <si>
    <t>Which department has the highest attrition rate?</t>
  </si>
  <si>
    <t>Question 1</t>
  </si>
  <si>
    <t>Grand Total</t>
  </si>
  <si>
    <t>Total Attrition</t>
  </si>
  <si>
    <t>Attrition Status</t>
  </si>
  <si>
    <t>Question 2</t>
  </si>
  <si>
    <r>
      <t xml:space="preserve">The </t>
    </r>
    <r>
      <rPr>
        <b/>
        <sz val="11"/>
        <color theme="1"/>
        <rFont val="Aptos Narrow"/>
        <family val="2"/>
        <scheme val="minor"/>
      </rPr>
      <t>Sales</t>
    </r>
    <r>
      <rPr>
        <sz val="11"/>
        <color theme="1"/>
        <rFont val="Aptos Narrow"/>
        <family val="2"/>
        <scheme val="minor"/>
      </rPr>
      <t xml:space="preserve"> department has the highest attrition rate at </t>
    </r>
    <r>
      <rPr>
        <b/>
        <sz val="11"/>
        <color theme="1"/>
        <rFont val="Aptos Narrow"/>
        <family val="2"/>
        <scheme val="minor"/>
      </rPr>
      <t>20.63%</t>
    </r>
    <r>
      <rPr>
        <sz val="11"/>
        <color theme="1"/>
        <rFont val="Aptos Narrow"/>
        <family val="2"/>
        <scheme val="minor"/>
      </rPr>
      <t xml:space="preserve">, with </t>
    </r>
    <r>
      <rPr>
        <b/>
        <sz val="11"/>
        <color theme="1"/>
        <rFont val="Aptos Narrow"/>
        <family val="2"/>
        <scheme val="minor"/>
      </rPr>
      <t>92 out of 446 employees</t>
    </r>
    <r>
      <rPr>
        <sz val="11"/>
        <color theme="1"/>
        <rFont val="Aptos Narrow"/>
        <family val="2"/>
        <scheme val="minor"/>
      </rPr>
      <t xml:space="preserve"> leaving the organization. The </t>
    </r>
    <r>
      <rPr>
        <b/>
        <sz val="11"/>
        <color theme="1"/>
        <rFont val="Aptos Narrow"/>
        <family val="2"/>
        <scheme val="minor"/>
      </rPr>
      <t>Human Resources</t>
    </r>
    <r>
      <rPr>
        <sz val="11"/>
        <color theme="1"/>
        <rFont val="Aptos Narrow"/>
        <family val="2"/>
        <scheme val="minor"/>
      </rPr>
      <t xml:space="preserve"> department follows with an attrition rate of </t>
    </r>
    <r>
      <rPr>
        <b/>
        <sz val="11"/>
        <color theme="1"/>
        <rFont val="Aptos Narrow"/>
        <family val="2"/>
        <scheme val="minor"/>
      </rPr>
      <t>19.05%</t>
    </r>
    <r>
      <rPr>
        <sz val="11"/>
        <color theme="1"/>
        <rFont val="Aptos Narrow"/>
        <family val="2"/>
        <scheme val="minor"/>
      </rPr>
      <t xml:space="preserve"> (12 out of 63 employees), while the </t>
    </r>
    <r>
      <rPr>
        <b/>
        <sz val="11"/>
        <color theme="1"/>
        <rFont val="Aptos Narrow"/>
        <family val="2"/>
        <scheme val="minor"/>
      </rPr>
      <t>Research &amp; Development</t>
    </r>
    <r>
      <rPr>
        <sz val="11"/>
        <color theme="1"/>
        <rFont val="Aptos Narrow"/>
        <family val="2"/>
        <scheme val="minor"/>
      </rPr>
      <t xml:space="preserve"> department has the lowest attrition rate of </t>
    </r>
    <r>
      <rPr>
        <b/>
        <sz val="11"/>
        <color theme="1"/>
        <rFont val="Aptos Narrow"/>
        <family val="2"/>
        <scheme val="minor"/>
      </rPr>
      <t>13.84%</t>
    </r>
    <r>
      <rPr>
        <sz val="11"/>
        <color theme="1"/>
        <rFont val="Aptos Narrow"/>
        <family val="2"/>
        <scheme val="minor"/>
      </rPr>
      <t xml:space="preserve"> (133 out of 961 employees). Overall, the company's attrition rate stands at </t>
    </r>
    <r>
      <rPr>
        <b/>
        <sz val="11"/>
        <color theme="1"/>
        <rFont val="Aptos Narrow"/>
        <family val="2"/>
        <scheme val="minor"/>
      </rPr>
      <t>16.12%</t>
    </r>
    <r>
      <rPr>
        <sz val="11"/>
        <color theme="1"/>
        <rFont val="Aptos Narrow"/>
        <family val="2"/>
        <scheme val="minor"/>
      </rPr>
      <t>.</t>
    </r>
  </si>
  <si>
    <t>The Sales department experiences the highest employee turnover, indicating greater retention challenges compared to other departments. This suggests that employees in customer-facing roles may be more affected by workload, performance pressure, or limited growth opportunities.</t>
  </si>
  <si>
    <t>Conduct department-specific retention programs for the Sales team by improving employee engagement, career development opportunities, and workload management. Regular employee feedback can help identify and address the key causes of attrition.</t>
  </si>
  <si>
    <t>What is the average age of employees who have left the company?</t>
  </si>
  <si>
    <t>Question 3</t>
  </si>
  <si>
    <t>Average Age of Attrition Employee</t>
  </si>
  <si>
    <r>
      <t xml:space="preserve">The average age of employees who have left the company is </t>
    </r>
    <r>
      <rPr>
        <b/>
        <sz val="11"/>
        <color theme="1"/>
        <rFont val="Aptos Narrow"/>
        <family val="2"/>
        <scheme val="minor"/>
      </rPr>
      <t>33.61 years</t>
    </r>
    <r>
      <rPr>
        <sz val="11"/>
        <color theme="1"/>
        <rFont val="Aptos Narrow"/>
        <family val="2"/>
        <scheme val="minor"/>
      </rPr>
      <t>. This indicates that employee attrition is more common among individuals in their early to mid-career stage.</t>
    </r>
  </si>
  <si>
    <r>
      <t xml:space="preserve">Most employees leaving the organization are around </t>
    </r>
    <r>
      <rPr>
        <b/>
        <sz val="11"/>
        <color theme="1"/>
        <rFont val="Aptos Narrow"/>
        <family val="2"/>
        <scheme val="minor"/>
      </rPr>
      <t>34 years old</t>
    </r>
    <r>
      <rPr>
        <sz val="11"/>
        <color theme="1"/>
        <rFont val="Aptos Narrow"/>
        <family val="2"/>
        <scheme val="minor"/>
      </rPr>
      <t>, suggesting that mid-career professionals may be exploring better career opportunities or improved work conditions.</t>
    </r>
  </si>
  <si>
    <t>Introduce career growth plans, skill development programs, and competitive benefits to improve retention among employees in this age group.</t>
  </si>
  <si>
    <t>How does job satisfaction vary across different job roles?</t>
  </si>
  <si>
    <t>Question 4</t>
  </si>
  <si>
    <t>Job Satisfaction Average</t>
  </si>
  <si>
    <r>
      <t xml:space="preserve">The average job satisfaction score across the organization is </t>
    </r>
    <r>
      <rPr>
        <b/>
        <sz val="11"/>
        <color theme="1"/>
        <rFont val="Aptos Narrow"/>
        <family val="2"/>
        <scheme val="minor"/>
      </rPr>
      <t>2.73</t>
    </r>
    <r>
      <rPr>
        <sz val="11"/>
        <color theme="1"/>
        <rFont val="Aptos Narrow"/>
        <family val="2"/>
        <scheme val="minor"/>
      </rPr>
      <t xml:space="preserve">. Among all job roles, </t>
    </r>
    <r>
      <rPr>
        <b/>
        <sz val="11"/>
        <color theme="1"/>
        <rFont val="Aptos Narrow"/>
        <family val="2"/>
        <scheme val="minor"/>
      </rPr>
      <t>Healthcare Representatives</t>
    </r>
    <r>
      <rPr>
        <sz val="11"/>
        <color theme="1"/>
        <rFont val="Aptos Narrow"/>
        <family val="2"/>
        <scheme val="minor"/>
      </rPr>
      <t xml:space="preserve"> have the highest average job satisfaction (</t>
    </r>
    <r>
      <rPr>
        <b/>
        <sz val="11"/>
        <color theme="1"/>
        <rFont val="Aptos Narrow"/>
        <family val="2"/>
        <scheme val="minor"/>
      </rPr>
      <t>2.79</t>
    </r>
    <r>
      <rPr>
        <sz val="11"/>
        <color theme="1"/>
        <rFont val="Aptos Narrow"/>
        <family val="2"/>
        <scheme val="minor"/>
      </rPr>
      <t xml:space="preserve">), followed by </t>
    </r>
    <r>
      <rPr>
        <b/>
        <sz val="11"/>
        <color theme="1"/>
        <rFont val="Aptos Narrow"/>
        <family val="2"/>
        <scheme val="minor"/>
      </rPr>
      <t>Research Scientists (2.77)</t>
    </r>
    <r>
      <rPr>
        <sz val="11"/>
        <color theme="1"/>
        <rFont val="Aptos Narrow"/>
        <family val="2"/>
        <scheme val="minor"/>
      </rPr>
      <t xml:space="preserve"> and </t>
    </r>
    <r>
      <rPr>
        <b/>
        <sz val="11"/>
        <color theme="1"/>
        <rFont val="Aptos Narrow"/>
        <family val="2"/>
        <scheme val="minor"/>
      </rPr>
      <t>Sales Executives (2.75)</t>
    </r>
    <r>
      <rPr>
        <sz val="11"/>
        <color theme="1"/>
        <rFont val="Aptos Narrow"/>
        <family val="2"/>
        <scheme val="minor"/>
      </rPr>
      <t xml:space="preserve">. </t>
    </r>
    <r>
      <rPr>
        <b/>
        <sz val="11"/>
        <color theme="1"/>
        <rFont val="Aptos Narrow"/>
        <family val="2"/>
        <scheme val="minor"/>
      </rPr>
      <t>Human Resources</t>
    </r>
    <r>
      <rPr>
        <sz val="11"/>
        <color theme="1"/>
        <rFont val="Aptos Narrow"/>
        <family val="2"/>
        <scheme val="minor"/>
      </rPr>
      <t xml:space="preserve"> employees report the lowest average job satisfaction score at </t>
    </r>
    <r>
      <rPr>
        <b/>
        <sz val="11"/>
        <color theme="1"/>
        <rFont val="Aptos Narrow"/>
        <family val="2"/>
        <scheme val="minor"/>
      </rPr>
      <t>2.56</t>
    </r>
    <r>
      <rPr>
        <sz val="11"/>
        <color theme="1"/>
        <rFont val="Aptos Narrow"/>
        <family val="2"/>
        <scheme val="minor"/>
      </rPr>
      <t>.</t>
    </r>
  </si>
  <si>
    <t>Job satisfaction levels are fairly consistent across most job roles, with only a small variation in scores. However, the comparatively lower satisfaction among Human Resources employees may indicate concerns related to workload, recognition, or career growth.</t>
  </si>
  <si>
    <t>Investigate the factors affecting job satisfaction in the Human Resources function through employee surveys and feedback sessions. Implement targeted engagement and development initiatives to improve employee satisfaction and overall retention.</t>
  </si>
  <si>
    <t>Is there a significant difference in attrition rates between male and female employees?</t>
  </si>
  <si>
    <t>Atrition Status</t>
  </si>
  <si>
    <r>
      <t xml:space="preserve">The attrition rate among </t>
    </r>
    <r>
      <rPr>
        <b/>
        <sz val="11"/>
        <color theme="1"/>
        <rFont val="Aptos Narrow"/>
        <family val="2"/>
        <scheme val="minor"/>
      </rPr>
      <t>male employees</t>
    </r>
    <r>
      <rPr>
        <sz val="11"/>
        <color theme="1"/>
        <rFont val="Aptos Narrow"/>
        <family val="2"/>
        <scheme val="minor"/>
      </rPr>
      <t xml:space="preserve"> is </t>
    </r>
    <r>
      <rPr>
        <b/>
        <sz val="11"/>
        <color theme="1"/>
        <rFont val="Aptos Narrow"/>
        <family val="2"/>
        <scheme val="minor"/>
      </rPr>
      <t>17.01%</t>
    </r>
    <r>
      <rPr>
        <sz val="11"/>
        <color theme="1"/>
        <rFont val="Aptos Narrow"/>
        <family val="2"/>
        <scheme val="minor"/>
      </rPr>
      <t xml:space="preserve">, with </t>
    </r>
    <r>
      <rPr>
        <b/>
        <sz val="11"/>
        <color theme="1"/>
        <rFont val="Aptos Narrow"/>
        <family val="2"/>
        <scheme val="minor"/>
      </rPr>
      <t>150 out of 882 employees</t>
    </r>
    <r>
      <rPr>
        <sz val="11"/>
        <color theme="1"/>
        <rFont val="Aptos Narrow"/>
        <family val="2"/>
        <scheme val="minor"/>
      </rPr>
      <t xml:space="preserve"> leaving the organization. In comparison, </t>
    </r>
    <r>
      <rPr>
        <b/>
        <sz val="11"/>
        <color theme="1"/>
        <rFont val="Aptos Narrow"/>
        <family val="2"/>
        <scheme val="minor"/>
      </rPr>
      <t>female employees</t>
    </r>
    <r>
      <rPr>
        <sz val="11"/>
        <color theme="1"/>
        <rFont val="Aptos Narrow"/>
        <family val="2"/>
        <scheme val="minor"/>
      </rPr>
      <t xml:space="preserve"> have an attrition rate of </t>
    </r>
    <r>
      <rPr>
        <b/>
        <sz val="11"/>
        <color theme="1"/>
        <rFont val="Aptos Narrow"/>
        <family val="2"/>
        <scheme val="minor"/>
      </rPr>
      <t>14.80%</t>
    </r>
    <r>
      <rPr>
        <sz val="11"/>
        <color theme="1"/>
        <rFont val="Aptos Narrow"/>
        <family val="2"/>
        <scheme val="minor"/>
      </rPr>
      <t xml:space="preserve">, with </t>
    </r>
    <r>
      <rPr>
        <b/>
        <sz val="11"/>
        <color theme="1"/>
        <rFont val="Aptos Narrow"/>
        <family val="2"/>
        <scheme val="minor"/>
      </rPr>
      <t>87 out of 588 employees</t>
    </r>
    <r>
      <rPr>
        <sz val="11"/>
        <color theme="1"/>
        <rFont val="Aptos Narrow"/>
        <family val="2"/>
        <scheme val="minor"/>
      </rPr>
      <t xml:space="preserve"> leaving. While male employees show a slightly higher attrition rate, the overall difference between the two groups is relatively small.</t>
    </r>
  </si>
  <si>
    <t>Male employees experience a marginally higher attrition rate than female employees. This suggests that employee turnover is not heavily influenced by gender alone, and other factors such as job role, work environment, or career growth may have a greater impact.</t>
  </si>
  <si>
    <t>Focus on organization-wide retention strategies rather than gender-specific initiatives. Further analysis of factors such as department, job role, overtime, and job satisfaction can help identify the primary drivers of employee attrition.</t>
  </si>
  <si>
    <t>What is the average monthly income of employees who have left the company?</t>
  </si>
  <si>
    <t>Question 5</t>
  </si>
  <si>
    <t>Question 6</t>
  </si>
  <si>
    <t>Average Income of Attrition Employee</t>
  </si>
  <si>
    <r>
      <t xml:space="preserve">The average monthly income of employees who have left the company is </t>
    </r>
    <r>
      <rPr>
        <b/>
        <sz val="11"/>
        <color theme="1"/>
        <rFont val="Aptos Narrow"/>
        <family val="2"/>
        <scheme val="minor"/>
      </rPr>
      <t>₹4,787.09</t>
    </r>
    <r>
      <rPr>
        <sz val="11"/>
        <color theme="1"/>
        <rFont val="Aptos Narrow"/>
        <family val="2"/>
        <scheme val="minor"/>
      </rPr>
      <t>. This indicates that employees who resigned were, on average, earning a relatively modest monthly salary, suggesting that compensation may have influenced their decision to leave.</t>
    </r>
  </si>
  <si>
    <t>The average income of employees who left the organization is relatively low, which may indicate that compensation plays a role in employee attrition. However, salary alone may not fully explain turnover, as other workplace factors can also contribute.</t>
  </si>
  <si>
    <t>Review the compensation structure for lower-income employees and benchmark salaries against industry standards. Along with competitive pay, enhance career progression opportunities and employee benefits to improve retention.</t>
  </si>
  <si>
    <t>How does distance from home impact employee attrition?</t>
  </si>
  <si>
    <t>Attrition Value</t>
  </si>
  <si>
    <t>Distance</t>
  </si>
  <si>
    <r>
      <t xml:space="preserve">Employee attrition does not show a consistent increase with greater distance from home. While some distances, such as </t>
    </r>
    <r>
      <rPr>
        <b/>
        <sz val="11"/>
        <color theme="1"/>
        <rFont val="Aptos Narrow"/>
        <family val="2"/>
        <scheme val="minor"/>
      </rPr>
      <t>24 km (42.86%)</t>
    </r>
    <r>
      <rPr>
        <sz val="11"/>
        <color theme="1"/>
        <rFont val="Aptos Narrow"/>
        <family val="2"/>
        <scheme val="minor"/>
      </rPr>
      <t xml:space="preserve">, </t>
    </r>
    <r>
      <rPr>
        <b/>
        <sz val="11"/>
        <color theme="1"/>
        <rFont val="Aptos Narrow"/>
        <family val="2"/>
        <scheme val="minor"/>
      </rPr>
      <t>13 km (31.58%)</t>
    </r>
    <r>
      <rPr>
        <sz val="11"/>
        <color theme="1"/>
        <rFont val="Aptos Narrow"/>
        <family val="2"/>
        <scheme val="minor"/>
      </rPr>
      <t xml:space="preserve">, and </t>
    </r>
    <r>
      <rPr>
        <b/>
        <sz val="11"/>
        <color theme="1"/>
        <rFont val="Aptos Narrow"/>
        <family val="2"/>
        <scheme val="minor"/>
      </rPr>
      <t>22 km (31.58%)</t>
    </r>
    <r>
      <rPr>
        <sz val="11"/>
        <color theme="1"/>
        <rFont val="Aptos Narrow"/>
        <family val="2"/>
        <scheme val="minor"/>
      </rPr>
      <t xml:space="preserve">, have relatively high attrition rates, these groups consist of a small number of employees. Employees living </t>
    </r>
    <r>
      <rPr>
        <b/>
        <sz val="11"/>
        <color theme="1"/>
        <rFont val="Aptos Narrow"/>
        <family val="2"/>
        <scheme val="minor"/>
      </rPr>
      <t>1–10 km</t>
    </r>
    <r>
      <rPr>
        <sz val="11"/>
        <color theme="1"/>
        <rFont val="Aptos Narrow"/>
        <family val="2"/>
        <scheme val="minor"/>
      </rPr>
      <t xml:space="preserve"> from the workplace account for most of the workforce and have attrition rates close to the overall average of </t>
    </r>
    <r>
      <rPr>
        <b/>
        <sz val="11"/>
        <color theme="1"/>
        <rFont val="Aptos Narrow"/>
        <family val="2"/>
        <scheme val="minor"/>
      </rPr>
      <t>16.12%</t>
    </r>
    <r>
      <rPr>
        <sz val="11"/>
        <color theme="1"/>
        <rFont val="Aptos Narrow"/>
        <family val="2"/>
        <scheme val="minor"/>
      </rPr>
      <t>.</t>
    </r>
  </si>
  <si>
    <t>Distance from home alone does not appear to be a strong predictor of employee attrition. Higher attrition rates at certain distances are based on smaller employee groups and may not represent a consistent trend across the organization.</t>
  </si>
  <si>
    <r>
      <t xml:space="preserve">Instead of focusing only on commuting distance, analyze it alongside factors such as </t>
    </r>
    <r>
      <rPr>
        <b/>
        <sz val="11"/>
        <color theme="1"/>
        <rFont val="Aptos Narrow"/>
        <family val="2"/>
        <scheme val="minor"/>
      </rPr>
      <t>overtime, job satisfaction, work-life balance, and job role</t>
    </r>
    <r>
      <rPr>
        <sz val="11"/>
        <color theme="1"/>
        <rFont val="Aptos Narrow"/>
        <family val="2"/>
        <scheme val="minor"/>
      </rPr>
      <t>. Flexible work arrangements or transportation support can be considered for employees with longer commutes if supported by additional evidence.</t>
    </r>
  </si>
  <si>
    <t>What is the distribution of performance ratings among employees?</t>
  </si>
  <si>
    <t>Rating</t>
  </si>
  <si>
    <t>Total Permormance Rating</t>
  </si>
  <si>
    <t>Question 7</t>
  </si>
  <si>
    <t>Question 8</t>
  </si>
  <si>
    <r>
      <t xml:space="preserve">The majority of employees, </t>
    </r>
    <r>
      <rPr>
        <b/>
        <sz val="11"/>
        <color theme="1"/>
        <rFont val="Aptos Narrow"/>
        <family val="2"/>
        <scheme val="minor"/>
      </rPr>
      <t>1,244 (84.63%)</t>
    </r>
    <r>
      <rPr>
        <sz val="11"/>
        <color theme="1"/>
        <rFont val="Aptos Narrow"/>
        <family val="2"/>
        <scheme val="minor"/>
      </rPr>
      <t xml:space="preserve">, have a performance rating of </t>
    </r>
    <r>
      <rPr>
        <b/>
        <sz val="11"/>
        <color theme="1"/>
        <rFont val="Aptos Narrow"/>
        <family val="2"/>
        <scheme val="minor"/>
      </rPr>
      <t>3</t>
    </r>
    <r>
      <rPr>
        <sz val="11"/>
        <color theme="1"/>
        <rFont val="Aptos Narrow"/>
        <family val="2"/>
        <scheme val="minor"/>
      </rPr>
      <t xml:space="preserve">, while </t>
    </r>
    <r>
      <rPr>
        <b/>
        <sz val="11"/>
        <color theme="1"/>
        <rFont val="Aptos Narrow"/>
        <family val="2"/>
        <scheme val="minor"/>
      </rPr>
      <t>226 employees (15.37%)</t>
    </r>
    <r>
      <rPr>
        <sz val="11"/>
        <color theme="1"/>
        <rFont val="Aptos Narrow"/>
        <family val="2"/>
        <scheme val="minor"/>
      </rPr>
      <t xml:space="preserve"> have a performance rating of </t>
    </r>
    <r>
      <rPr>
        <b/>
        <sz val="11"/>
        <color theme="1"/>
        <rFont val="Aptos Narrow"/>
        <family val="2"/>
        <scheme val="minor"/>
      </rPr>
      <t>4</t>
    </r>
    <r>
      <rPr>
        <sz val="11"/>
        <color theme="1"/>
        <rFont val="Aptos Narrow"/>
        <family val="2"/>
        <scheme val="minor"/>
      </rPr>
      <t>. This indicates that most employees are consistently rated at the standard performance level, with a smaller proportion achieving higher performance ratings.</t>
    </r>
  </si>
  <si>
    <r>
      <t xml:space="preserve">The performance ratings are concentrated at </t>
    </r>
    <r>
      <rPr>
        <b/>
        <sz val="11"/>
        <color theme="1"/>
        <rFont val="Aptos Narrow"/>
        <family val="2"/>
        <scheme val="minor"/>
      </rPr>
      <t>Rating 3</t>
    </r>
    <r>
      <rPr>
        <sz val="11"/>
        <color theme="1"/>
        <rFont val="Aptos Narrow"/>
        <family val="2"/>
        <scheme val="minor"/>
      </rPr>
      <t xml:space="preserve">, suggesting a stable and consistent workforce. The relatively small number of employees rated </t>
    </r>
    <r>
      <rPr>
        <b/>
        <sz val="11"/>
        <color theme="1"/>
        <rFont val="Aptos Narrow"/>
        <family val="2"/>
        <scheme val="minor"/>
      </rPr>
      <t>4</t>
    </r>
    <r>
      <rPr>
        <sz val="11"/>
        <color theme="1"/>
        <rFont val="Aptos Narrow"/>
        <family val="2"/>
        <scheme val="minor"/>
      </rPr>
      <t xml:space="preserve"> indicates that high-performance ratings are awarded selectively.</t>
    </r>
  </si>
  <si>
    <t>Review the performance evaluation process to ensure deserving employees are recognized fairly. Encourage continuous learning and performance development programs to help more employees achieve higher performance ratings.</t>
  </si>
  <si>
    <t>How many employees work overtime regularly?</t>
  </si>
  <si>
    <t>Over Time Status</t>
  </si>
  <si>
    <t>Question 9</t>
  </si>
  <si>
    <t>Overtime Emp Count</t>
  </si>
  <si>
    <r>
      <t xml:space="preserve">Out of </t>
    </r>
    <r>
      <rPr>
        <b/>
        <sz val="11"/>
        <color theme="1"/>
        <rFont val="Aptos Narrow"/>
        <family val="2"/>
        <scheme val="minor"/>
      </rPr>
      <t>1,470 employees</t>
    </r>
    <r>
      <rPr>
        <sz val="11"/>
        <color theme="1"/>
        <rFont val="Aptos Narrow"/>
        <family val="2"/>
        <scheme val="minor"/>
      </rPr>
      <t xml:space="preserve">, </t>
    </r>
    <r>
      <rPr>
        <b/>
        <sz val="11"/>
        <color theme="1"/>
        <rFont val="Aptos Narrow"/>
        <family val="2"/>
        <scheme val="minor"/>
      </rPr>
      <t>416 employees (28.30%)</t>
    </r>
    <r>
      <rPr>
        <sz val="11"/>
        <color theme="1"/>
        <rFont val="Aptos Narrow"/>
        <family val="2"/>
        <scheme val="minor"/>
      </rPr>
      <t xml:space="preserve"> regularly work overtime, while </t>
    </r>
    <r>
      <rPr>
        <b/>
        <sz val="11"/>
        <color theme="1"/>
        <rFont val="Aptos Narrow"/>
        <family val="2"/>
        <scheme val="minor"/>
      </rPr>
      <t>1,054 employees (71.70%)</t>
    </r>
    <r>
      <rPr>
        <sz val="11"/>
        <color theme="1"/>
        <rFont val="Aptos Narrow"/>
        <family val="2"/>
        <scheme val="minor"/>
      </rPr>
      <t xml:space="preserve"> do not. This indicates that nearly </t>
    </r>
    <r>
      <rPr>
        <b/>
        <sz val="11"/>
        <color theme="1"/>
        <rFont val="Aptos Narrow"/>
        <family val="2"/>
        <scheme val="minor"/>
      </rPr>
      <t>3 out of every 10 employees</t>
    </r>
    <r>
      <rPr>
        <sz val="11"/>
        <color theme="1"/>
        <rFont val="Aptos Narrow"/>
        <family val="2"/>
        <scheme val="minor"/>
      </rPr>
      <t xml:space="preserve"> are working beyond their regular working hours.</t>
    </r>
  </si>
  <si>
    <t>A significant proportion of employees regularly work overtime, which may affect work-life balance, job satisfaction, and overall employee well-being if sustained over long periods.</t>
  </si>
  <si>
    <t>Monitor overtime patterns across departments and job roles to identify workload imbalances. Optimize workforce planning and encourage healthy work-life balance practices to reduce excessive overtime.</t>
  </si>
  <si>
    <t>Question 10</t>
  </si>
  <si>
    <t>What is the average number of years employees have worked at Adecco India?</t>
  </si>
  <si>
    <t>Average Years at Company</t>
  </si>
  <si>
    <r>
      <t xml:space="preserve">The average employee tenure at Adecco India is </t>
    </r>
    <r>
      <rPr>
        <b/>
        <sz val="11"/>
        <color theme="1"/>
        <rFont val="Aptos Narrow"/>
        <family val="2"/>
        <scheme val="minor"/>
      </rPr>
      <t>7.01 years</t>
    </r>
    <r>
      <rPr>
        <sz val="11"/>
        <color theme="1"/>
        <rFont val="Aptos Narrow"/>
        <family val="2"/>
        <scheme val="minor"/>
      </rPr>
      <t>. This indicates that employees, on average, remain with the organization for about seven years, reflecting a relatively stable workforce with moderate long-term retention.</t>
    </r>
  </si>
  <si>
    <r>
      <t xml:space="preserve">An average tenure of </t>
    </r>
    <r>
      <rPr>
        <b/>
        <sz val="11"/>
        <color theme="1"/>
        <rFont val="Aptos Narrow"/>
        <family val="2"/>
        <scheme val="minor"/>
      </rPr>
      <t>7 years</t>
    </r>
    <r>
      <rPr>
        <sz val="11"/>
        <color theme="1"/>
        <rFont val="Aptos Narrow"/>
        <family val="2"/>
        <scheme val="minor"/>
      </rPr>
      <t xml:space="preserve"> suggests that many employees build long-term careers within the organization. However, maintaining this stability requires continuous focus on employee engagement and career growth.</t>
    </r>
  </si>
  <si>
    <t>Continue investing in employee development, recognition programs, and career progression opportunities to improve long-term retention and encourage employees to remain with the organization.</t>
  </si>
  <si>
    <t>What are the top three factors contributing to employee attrition at Adecco India?</t>
  </si>
  <si>
    <t>Factor</t>
  </si>
  <si>
    <t>Correlation</t>
  </si>
  <si>
    <t>Monthly Income</t>
  </si>
  <si>
    <t>Years At Company</t>
  </si>
  <si>
    <r>
      <t xml:space="preserve">Based on the correlation analysis, the three factors most associated with employee attrition are </t>
    </r>
    <r>
      <rPr>
        <b/>
        <sz val="11"/>
        <color theme="1"/>
        <rFont val="Aptos Narrow"/>
        <family val="2"/>
        <scheme val="minor"/>
      </rPr>
      <t>Monthly Income (-0.1598)</t>
    </r>
    <r>
      <rPr>
        <sz val="11"/>
        <color theme="1"/>
        <rFont val="Aptos Narrow"/>
        <family val="2"/>
        <scheme val="minor"/>
      </rPr>
      <t xml:space="preserve">, </t>
    </r>
    <r>
      <rPr>
        <b/>
        <sz val="11"/>
        <color theme="1"/>
        <rFont val="Aptos Narrow"/>
        <family val="2"/>
        <scheme val="minor"/>
      </rPr>
      <t>Age (-0.1592)</t>
    </r>
    <r>
      <rPr>
        <sz val="11"/>
        <color theme="1"/>
        <rFont val="Aptos Narrow"/>
        <family val="2"/>
        <scheme val="minor"/>
      </rPr>
      <t xml:space="preserve">, and </t>
    </r>
    <r>
      <rPr>
        <b/>
        <sz val="11"/>
        <color theme="1"/>
        <rFont val="Aptos Narrow"/>
        <family val="2"/>
        <scheme val="minor"/>
      </rPr>
      <t>Years at Company (-0.1344)</t>
    </r>
    <r>
      <rPr>
        <sz val="11"/>
        <color theme="1"/>
        <rFont val="Aptos Narrow"/>
        <family val="2"/>
        <scheme val="minor"/>
      </rPr>
      <t>. All three show a weak negative correlation with attrition, indicating that employees with higher salaries, greater age, and longer tenure are slightly less likely to leave the organization.</t>
    </r>
  </si>
  <si>
    <t>Although these factors have the highest correlation with attrition in the dataset, their relationships are relatively weak. This suggests that employee attrition is influenced by multiple factors rather than a single variable.</t>
  </si>
  <si>
    <t>Develop retention strategies that combine competitive compensation, career development opportunities, and long-term employee engagement. Further analysis of factors such as overtime, job satisfaction, and work-life balance can provide a more comprehensive understanding of employee attrition.</t>
  </si>
  <si>
    <t>How does the attrition rate vary with different levels of job involvement?</t>
  </si>
  <si>
    <t>Job Involvement</t>
  </si>
  <si>
    <r>
      <t xml:space="preserve">Employee attrition decreases as job involvement increases. Employees with </t>
    </r>
    <r>
      <rPr>
        <b/>
        <sz val="11"/>
        <color theme="1"/>
        <rFont val="Aptos Narrow"/>
        <family val="2"/>
        <scheme val="minor"/>
      </rPr>
      <t>Job Involvement Level 1</t>
    </r>
    <r>
      <rPr>
        <sz val="11"/>
        <color theme="1"/>
        <rFont val="Aptos Narrow"/>
        <family val="2"/>
        <scheme val="minor"/>
      </rPr>
      <t xml:space="preserve"> have the highest attrition rate at </t>
    </r>
    <r>
      <rPr>
        <b/>
        <sz val="11"/>
        <color theme="1"/>
        <rFont val="Aptos Narrow"/>
        <family val="2"/>
        <scheme val="minor"/>
      </rPr>
      <t>33.73%</t>
    </r>
    <r>
      <rPr>
        <sz val="11"/>
        <color theme="1"/>
        <rFont val="Aptos Narrow"/>
        <family val="2"/>
        <scheme val="minor"/>
      </rPr>
      <t xml:space="preserve">, which is more than double the overall company attrition rate of </t>
    </r>
    <r>
      <rPr>
        <b/>
        <sz val="11"/>
        <color theme="1"/>
        <rFont val="Aptos Narrow"/>
        <family val="2"/>
        <scheme val="minor"/>
      </rPr>
      <t>16.12%</t>
    </r>
    <r>
      <rPr>
        <sz val="11"/>
        <color theme="1"/>
        <rFont val="Aptos Narrow"/>
        <family val="2"/>
        <scheme val="minor"/>
      </rPr>
      <t xml:space="preserve">. In contrast, employees with </t>
    </r>
    <r>
      <rPr>
        <b/>
        <sz val="11"/>
        <color theme="1"/>
        <rFont val="Aptos Narrow"/>
        <family val="2"/>
        <scheme val="minor"/>
      </rPr>
      <t>Level 4</t>
    </r>
    <r>
      <rPr>
        <sz val="11"/>
        <color theme="1"/>
        <rFont val="Aptos Narrow"/>
        <family val="2"/>
        <scheme val="minor"/>
      </rPr>
      <t xml:space="preserve"> involvement have the lowest attrition rate at </t>
    </r>
    <r>
      <rPr>
        <b/>
        <sz val="11"/>
        <color theme="1"/>
        <rFont val="Aptos Narrow"/>
        <family val="2"/>
        <scheme val="minor"/>
      </rPr>
      <t>9.03%</t>
    </r>
    <r>
      <rPr>
        <sz val="11"/>
        <color theme="1"/>
        <rFont val="Aptos Narrow"/>
        <family val="2"/>
        <scheme val="minor"/>
      </rPr>
      <t>, indicating that higher job involvement is associated with better employee retention.</t>
    </r>
  </si>
  <si>
    <t>Employees with lower job involvement are significantly more likely to leave the organization. This highlights employee engagement as an important factor influencing workforce stability.</t>
  </si>
  <si>
    <t>Increase employee engagement through regular feedback, recognition programs, meaningful responsibilities, and career development opportunities. Improving job involvement can contribute to lower attrition and higher employee commitment.</t>
  </si>
  <si>
    <t>Is there a relationship between employee age and job satisfaction?</t>
  </si>
  <si>
    <t>Relationship between employee age and job satisfaction</t>
  </si>
  <si>
    <r>
      <t xml:space="preserve">The correlation coefficient between </t>
    </r>
    <r>
      <rPr>
        <b/>
        <sz val="11"/>
        <color theme="1"/>
        <rFont val="Aptos Narrow"/>
        <family val="2"/>
        <scheme val="minor"/>
      </rPr>
      <t>employee age</t>
    </r>
    <r>
      <rPr>
        <sz val="11"/>
        <color theme="1"/>
        <rFont val="Aptos Narrow"/>
        <family val="2"/>
        <scheme val="minor"/>
      </rPr>
      <t xml:space="preserve"> and </t>
    </r>
    <r>
      <rPr>
        <b/>
        <sz val="11"/>
        <color theme="1"/>
        <rFont val="Aptos Narrow"/>
        <family val="2"/>
        <scheme val="minor"/>
      </rPr>
      <t>job satisfaction</t>
    </r>
    <r>
      <rPr>
        <sz val="11"/>
        <color theme="1"/>
        <rFont val="Aptos Narrow"/>
        <family val="2"/>
        <scheme val="minor"/>
      </rPr>
      <t xml:space="preserve"> is </t>
    </r>
    <r>
      <rPr>
        <b/>
        <sz val="11"/>
        <color theme="1"/>
        <rFont val="Aptos Narrow"/>
        <family val="2"/>
        <scheme val="minor"/>
      </rPr>
      <t>-0.0049</t>
    </r>
    <r>
      <rPr>
        <sz val="11"/>
        <color theme="1"/>
        <rFont val="Aptos Narrow"/>
        <family val="2"/>
        <scheme val="minor"/>
      </rPr>
      <t xml:space="preserve">, indicating virtually </t>
    </r>
    <r>
      <rPr>
        <b/>
        <sz val="11"/>
        <color theme="1"/>
        <rFont val="Aptos Narrow"/>
        <family val="2"/>
        <scheme val="minor"/>
      </rPr>
      <t>no linear relationship</t>
    </r>
    <r>
      <rPr>
        <sz val="11"/>
        <color theme="1"/>
        <rFont val="Aptos Narrow"/>
        <family val="2"/>
        <scheme val="minor"/>
      </rPr>
      <t xml:space="preserve"> between the two variables. This suggests that job satisfaction remains relatively consistent across different age groups and is not significantly influenced by employee age.</t>
    </r>
  </si>
  <si>
    <t>Employee age has little to no impact on job satisfaction within the organization. Other factors such as work environment, leadership, career growth, and work-life balance are likely to have a greater influence on employee satisfaction.</t>
  </si>
  <si>
    <t>Rather than designing age-specific initiatives, focus on organization-wide programs that enhance employee engagement, recognition, career development, and workplace culture to improve overall job satisfaction.</t>
  </si>
  <si>
    <t>How does marital status impact employee attrition?</t>
  </si>
  <si>
    <t>Marital Status</t>
  </si>
  <si>
    <r>
      <t xml:space="preserve">Employee attrition varies considerably across different marital status groups. </t>
    </r>
    <r>
      <rPr>
        <b/>
        <sz val="11"/>
        <color theme="1"/>
        <rFont val="Aptos Narrow"/>
        <family val="2"/>
        <scheme val="minor"/>
      </rPr>
      <t>Single employees</t>
    </r>
    <r>
      <rPr>
        <sz val="11"/>
        <color theme="1"/>
        <rFont val="Aptos Narrow"/>
        <family val="2"/>
        <scheme val="minor"/>
      </rPr>
      <t xml:space="preserve"> have the highest attrition rate at </t>
    </r>
    <r>
      <rPr>
        <b/>
        <sz val="11"/>
        <color theme="1"/>
        <rFont val="Aptos Narrow"/>
        <family val="2"/>
        <scheme val="minor"/>
      </rPr>
      <t>25.53%</t>
    </r>
    <r>
      <rPr>
        <sz val="11"/>
        <color theme="1"/>
        <rFont val="Aptos Narrow"/>
        <family val="2"/>
        <scheme val="minor"/>
      </rPr>
      <t xml:space="preserve">, which is substantially higher than the overall company attrition rate of </t>
    </r>
    <r>
      <rPr>
        <b/>
        <sz val="11"/>
        <color theme="1"/>
        <rFont val="Aptos Narrow"/>
        <family val="2"/>
        <scheme val="minor"/>
      </rPr>
      <t>16.12%</t>
    </r>
    <r>
      <rPr>
        <sz val="11"/>
        <color theme="1"/>
        <rFont val="Aptos Narrow"/>
        <family val="2"/>
        <scheme val="minor"/>
      </rPr>
      <t xml:space="preserve">. In comparison, </t>
    </r>
    <r>
      <rPr>
        <b/>
        <sz val="11"/>
        <color theme="1"/>
        <rFont val="Aptos Narrow"/>
        <family val="2"/>
        <scheme val="minor"/>
      </rPr>
      <t>Married employees</t>
    </r>
    <r>
      <rPr>
        <sz val="11"/>
        <color theme="1"/>
        <rFont val="Aptos Narrow"/>
        <family val="2"/>
        <scheme val="minor"/>
      </rPr>
      <t xml:space="preserve"> have an attrition rate of </t>
    </r>
    <r>
      <rPr>
        <b/>
        <sz val="11"/>
        <color theme="1"/>
        <rFont val="Aptos Narrow"/>
        <family val="2"/>
        <scheme val="minor"/>
      </rPr>
      <t>12.48%</t>
    </r>
    <r>
      <rPr>
        <sz val="11"/>
        <color theme="1"/>
        <rFont val="Aptos Narrow"/>
        <family val="2"/>
        <scheme val="minor"/>
      </rPr>
      <t xml:space="preserve">, while </t>
    </r>
    <r>
      <rPr>
        <b/>
        <sz val="11"/>
        <color theme="1"/>
        <rFont val="Aptos Narrow"/>
        <family val="2"/>
        <scheme val="minor"/>
      </rPr>
      <t>Divorced employees</t>
    </r>
    <r>
      <rPr>
        <sz val="11"/>
        <color theme="1"/>
        <rFont val="Aptos Narrow"/>
        <family val="2"/>
        <scheme val="minor"/>
      </rPr>
      <t xml:space="preserve"> have the lowest attrition rate at </t>
    </r>
    <r>
      <rPr>
        <b/>
        <sz val="11"/>
        <color theme="1"/>
        <rFont val="Aptos Narrow"/>
        <family val="2"/>
        <scheme val="minor"/>
      </rPr>
      <t>10.09%</t>
    </r>
    <r>
      <rPr>
        <sz val="11"/>
        <color theme="1"/>
        <rFont val="Aptos Narrow"/>
        <family val="2"/>
        <scheme val="minor"/>
      </rPr>
      <t>.</t>
    </r>
  </si>
  <si>
    <t>Single employees are significantly more likely to leave the organization than married or divorced employees. This suggests that marital status may be associated with employee stability, with single employees potentially having greater career mobility or different personal priorities.</t>
  </si>
  <si>
    <t>Strengthen retention initiatives for single employees by providing clear career progression opportunities, mentoring programs, skill development, and employee engagement activities. Understanding the specific reasons behind their higher turnover can help design more effective retention strategies.</t>
  </si>
  <si>
    <t>What is the impact of training on employee attrition?</t>
  </si>
  <si>
    <t>Traning Times</t>
  </si>
  <si>
    <r>
      <t xml:space="preserve">Employee attrition varies across different training levels. Employees who received </t>
    </r>
    <r>
      <rPr>
        <b/>
        <sz val="11"/>
        <color theme="1"/>
        <rFont val="Aptos Narrow"/>
        <family val="2"/>
        <scheme val="minor"/>
      </rPr>
      <t>no training (0 sessions)</t>
    </r>
    <r>
      <rPr>
        <sz val="11"/>
        <color theme="1"/>
        <rFont val="Aptos Narrow"/>
        <family val="2"/>
        <scheme val="minor"/>
      </rPr>
      <t xml:space="preserve"> have the highest attrition rate at </t>
    </r>
    <r>
      <rPr>
        <b/>
        <sz val="11"/>
        <color theme="1"/>
        <rFont val="Aptos Narrow"/>
        <family val="2"/>
        <scheme val="minor"/>
      </rPr>
      <t>27.78%</t>
    </r>
    <r>
      <rPr>
        <sz val="11"/>
        <color theme="1"/>
        <rFont val="Aptos Narrow"/>
        <family val="2"/>
        <scheme val="minor"/>
      </rPr>
      <t xml:space="preserve">, which is significantly higher than the overall company attrition rate of </t>
    </r>
    <r>
      <rPr>
        <b/>
        <sz val="11"/>
        <color theme="1"/>
        <rFont val="Aptos Narrow"/>
        <family val="2"/>
        <scheme val="minor"/>
      </rPr>
      <t>16.12%</t>
    </r>
    <r>
      <rPr>
        <sz val="11"/>
        <color theme="1"/>
        <rFont val="Aptos Narrow"/>
        <family val="2"/>
        <scheme val="minor"/>
      </rPr>
      <t xml:space="preserve">. In contrast, employees who attended </t>
    </r>
    <r>
      <rPr>
        <b/>
        <sz val="11"/>
        <color theme="1"/>
        <rFont val="Aptos Narrow"/>
        <family val="2"/>
        <scheme val="minor"/>
      </rPr>
      <t>6 training sessions</t>
    </r>
    <r>
      <rPr>
        <sz val="11"/>
        <color theme="1"/>
        <rFont val="Aptos Narrow"/>
        <family val="2"/>
        <scheme val="minor"/>
      </rPr>
      <t xml:space="preserve"> have the lowest attrition rate at </t>
    </r>
    <r>
      <rPr>
        <b/>
        <sz val="11"/>
        <color theme="1"/>
        <rFont val="Aptos Narrow"/>
        <family val="2"/>
        <scheme val="minor"/>
      </rPr>
      <t>9.23%</t>
    </r>
    <r>
      <rPr>
        <sz val="11"/>
        <color theme="1"/>
        <rFont val="Aptos Narrow"/>
        <family val="2"/>
        <scheme val="minor"/>
      </rPr>
      <t>, indicating that higher participation in training is generally associated with lower employee turnover.</t>
    </r>
  </si>
  <si>
    <t>Employees with little or no training are more likely to leave the organization, while those receiving regular training tend to have lower attrition rates. Although the relationship is not perfectly linear across all training levels, professional development appears to contribute positively to employee retention.</t>
  </si>
  <si>
    <t>Expand employee training and development programs, particularly for newly hired and less-engaged employees. Providing regular learning opportunities, skill enhancement, and career development initiatives can improve employee engagement and reduce attrition.</t>
  </si>
  <si>
    <t>How does work-life balance affect employee performance ratings?</t>
  </si>
  <si>
    <t>Performance Rating</t>
  </si>
  <si>
    <t>Worklife Balance</t>
  </si>
  <si>
    <t>Total Performance Status</t>
  </si>
  <si>
    <t>% of Rating 4</t>
  </si>
  <si>
    <r>
      <t xml:space="preserve">The distribution of performance ratings remains relatively consistent across different work-life balance levels. The percentage of employees receiving a </t>
    </r>
    <r>
      <rPr>
        <b/>
        <sz val="11"/>
        <color theme="1"/>
        <rFont val="Aptos Narrow"/>
        <family val="2"/>
        <scheme val="minor"/>
      </rPr>
      <t>Performance Rating of 4</t>
    </r>
    <r>
      <rPr>
        <sz val="11"/>
        <color theme="1"/>
        <rFont val="Aptos Narrow"/>
        <family val="2"/>
        <scheme val="minor"/>
      </rPr>
      <t xml:space="preserve"> ranges from </t>
    </r>
    <r>
      <rPr>
        <b/>
        <sz val="11"/>
        <color theme="1"/>
        <rFont val="Aptos Narrow"/>
        <family val="2"/>
        <scheme val="minor"/>
      </rPr>
      <t>13.95% to 17.50%</t>
    </r>
    <r>
      <rPr>
        <sz val="11"/>
        <color theme="1"/>
        <rFont val="Aptos Narrow"/>
        <family val="2"/>
        <scheme val="minor"/>
      </rPr>
      <t xml:space="preserve">, with the overall average at </t>
    </r>
    <r>
      <rPr>
        <b/>
        <sz val="11"/>
        <color theme="1"/>
        <rFont val="Aptos Narrow"/>
        <family val="2"/>
        <scheme val="minor"/>
      </rPr>
      <t>15.37%</t>
    </r>
    <r>
      <rPr>
        <sz val="11"/>
        <color theme="1"/>
        <rFont val="Aptos Narrow"/>
        <family val="2"/>
        <scheme val="minor"/>
      </rPr>
      <t>. This indicates that work-life balance has only a limited influence on employee performance ratings within the organization.</t>
    </r>
  </si>
  <si>
    <t>Employees across all work-life balance levels exhibit similar performance rating patterns. This suggests that performance is likely influenced more by factors such as skills, experience, job role, and employee engagement than by work-life balance alone.</t>
  </si>
  <si>
    <t>Continue promoting a healthy work-life balance to support employee well-being, but complement these efforts with performance management initiatives such as continuous feedback, skill development, and recognition programs to improve employee performance.</t>
  </si>
  <si>
    <t>What is the effect of stock options on employee attrition?</t>
  </si>
  <si>
    <t>Stock Option Level</t>
  </si>
  <si>
    <r>
      <t xml:space="preserve">Employee attrition varies significantly across different stock option levels. Employees with </t>
    </r>
    <r>
      <rPr>
        <b/>
        <sz val="11"/>
        <color theme="1"/>
        <rFont val="Aptos Narrow"/>
        <family val="2"/>
        <scheme val="minor"/>
      </rPr>
      <t>Stock Option Level 0</t>
    </r>
    <r>
      <rPr>
        <sz val="11"/>
        <color theme="1"/>
        <rFont val="Aptos Narrow"/>
        <family val="2"/>
        <scheme val="minor"/>
      </rPr>
      <t xml:space="preserve"> have the highest attrition rate at </t>
    </r>
    <r>
      <rPr>
        <b/>
        <sz val="11"/>
        <color theme="1"/>
        <rFont val="Aptos Narrow"/>
        <family val="2"/>
        <scheme val="minor"/>
      </rPr>
      <t>24.41%</t>
    </r>
    <r>
      <rPr>
        <sz val="11"/>
        <color theme="1"/>
        <rFont val="Aptos Narrow"/>
        <family val="2"/>
        <scheme val="minor"/>
      </rPr>
      <t xml:space="preserve">, which is considerably higher than the overall company attrition rate of </t>
    </r>
    <r>
      <rPr>
        <b/>
        <sz val="11"/>
        <color theme="1"/>
        <rFont val="Aptos Narrow"/>
        <family val="2"/>
        <scheme val="minor"/>
      </rPr>
      <t>16.12%</t>
    </r>
    <r>
      <rPr>
        <sz val="11"/>
        <color theme="1"/>
        <rFont val="Aptos Narrow"/>
        <family val="2"/>
        <scheme val="minor"/>
      </rPr>
      <t xml:space="preserve">. In contrast, employees with </t>
    </r>
    <r>
      <rPr>
        <b/>
        <sz val="11"/>
        <color theme="1"/>
        <rFont val="Aptos Narrow"/>
        <family val="2"/>
        <scheme val="minor"/>
      </rPr>
      <t>Stock Option Level 2</t>
    </r>
    <r>
      <rPr>
        <sz val="11"/>
        <color theme="1"/>
        <rFont val="Aptos Narrow"/>
        <family val="2"/>
        <scheme val="minor"/>
      </rPr>
      <t xml:space="preserve"> have the lowest attrition rate at </t>
    </r>
    <r>
      <rPr>
        <b/>
        <sz val="11"/>
        <color theme="1"/>
        <rFont val="Aptos Narrow"/>
        <family val="2"/>
        <scheme val="minor"/>
      </rPr>
      <t>7.59%</t>
    </r>
    <r>
      <rPr>
        <sz val="11"/>
        <color theme="1"/>
        <rFont val="Aptos Narrow"/>
        <family val="2"/>
        <scheme val="minor"/>
      </rPr>
      <t xml:space="preserve">, while </t>
    </r>
    <r>
      <rPr>
        <b/>
        <sz val="11"/>
        <color theme="1"/>
        <rFont val="Aptos Narrow"/>
        <family val="2"/>
        <scheme val="minor"/>
      </rPr>
      <t>Level 1</t>
    </r>
    <r>
      <rPr>
        <sz val="11"/>
        <color theme="1"/>
        <rFont val="Aptos Narrow"/>
        <family val="2"/>
        <scheme val="minor"/>
      </rPr>
      <t xml:space="preserve"> also shows a relatively low attrition rate of </t>
    </r>
    <r>
      <rPr>
        <b/>
        <sz val="11"/>
        <color theme="1"/>
        <rFont val="Aptos Narrow"/>
        <family val="2"/>
        <scheme val="minor"/>
      </rPr>
      <t>9.40%</t>
    </r>
    <r>
      <rPr>
        <sz val="11"/>
        <color theme="1"/>
        <rFont val="Aptos Narrow"/>
        <family val="2"/>
        <scheme val="minor"/>
      </rPr>
      <t>. This indicates that employees receiving stock options are generally less likely to leave the organization.</t>
    </r>
  </si>
  <si>
    <t>Employees without stock options are much more likely to leave the company, suggesting that stock-based incentives may strengthen employee commitment and long-term retention.</t>
  </si>
  <si>
    <t>Review the organization's compensation strategy by expanding stock-based incentive programs for eligible employees. Combining stock options with career development and recognition initiatives can further improve employee retention and engagement.</t>
  </si>
  <si>
    <t>How does employee tenure relate to job satisfaction?</t>
  </si>
  <si>
    <t>Employee Tenure VS Job Satisfaction</t>
  </si>
  <si>
    <r>
      <t xml:space="preserve">The correlation coefficient between </t>
    </r>
    <r>
      <rPr>
        <b/>
        <sz val="11"/>
        <color theme="1"/>
        <rFont val="Aptos Narrow"/>
        <family val="2"/>
        <scheme val="minor"/>
      </rPr>
      <t>Years at Company</t>
    </r>
    <r>
      <rPr>
        <sz val="11"/>
        <color theme="1"/>
        <rFont val="Aptos Narrow"/>
        <family val="2"/>
        <scheme val="minor"/>
      </rPr>
      <t xml:space="preserve"> and </t>
    </r>
    <r>
      <rPr>
        <b/>
        <sz val="11"/>
        <color theme="1"/>
        <rFont val="Aptos Narrow"/>
        <family val="2"/>
        <scheme val="minor"/>
      </rPr>
      <t>Job Satisfaction</t>
    </r>
    <r>
      <rPr>
        <sz val="11"/>
        <color theme="1"/>
        <rFont val="Aptos Narrow"/>
        <family val="2"/>
        <scheme val="minor"/>
      </rPr>
      <t xml:space="preserve"> is </t>
    </r>
    <r>
      <rPr>
        <b/>
        <sz val="11"/>
        <color theme="1"/>
        <rFont val="Aptos Narrow"/>
        <family val="2"/>
        <scheme val="minor"/>
      </rPr>
      <t>-0.004</t>
    </r>
    <r>
      <rPr>
        <sz val="11"/>
        <color theme="1"/>
        <rFont val="Aptos Narrow"/>
        <family val="2"/>
        <scheme val="minor"/>
      </rPr>
      <t xml:space="preserve">, indicating virtually </t>
    </r>
    <r>
      <rPr>
        <b/>
        <sz val="11"/>
        <color theme="1"/>
        <rFont val="Aptos Narrow"/>
        <family val="2"/>
        <scheme val="minor"/>
      </rPr>
      <t>no linear relationship</t>
    </r>
    <r>
      <rPr>
        <sz val="11"/>
        <color theme="1"/>
        <rFont val="Aptos Narrow"/>
        <family val="2"/>
        <scheme val="minor"/>
      </rPr>
      <t xml:space="preserve"> between employee tenure and job satisfaction. This suggests that employees with longer service are neither more nor less satisfied with their jobs than newer employees.</t>
    </r>
  </si>
  <si>
    <t>Employee tenure does not appear to significantly influence job satisfaction. Other workplace factors, such as leadership, career growth opportunities, recognition, and organizational culture, are likely to have a greater impact on employee satisfaction.</t>
  </si>
  <si>
    <t>Focus on improving job satisfaction through employee engagement initiatives, continuous feedback, recognition programs, and career development opportunities rather than relying solely on employee tenure to enhance satisfaction.</t>
  </si>
  <si>
    <t>What is the impact of business travel on job satisfaction?</t>
  </si>
  <si>
    <t>Business Travel</t>
  </si>
  <si>
    <t>Average of Job Satisfaction</t>
  </si>
  <si>
    <r>
      <t xml:space="preserve">The average job satisfaction score is </t>
    </r>
    <r>
      <rPr>
        <b/>
        <sz val="11"/>
        <color theme="1"/>
        <rFont val="Aptos Narrow"/>
        <family val="2"/>
        <scheme val="minor"/>
      </rPr>
      <t>2.79</t>
    </r>
    <r>
      <rPr>
        <sz val="11"/>
        <color theme="1"/>
        <rFont val="Aptos Narrow"/>
        <family val="2"/>
        <scheme val="minor"/>
      </rPr>
      <t xml:space="preserve"> for both </t>
    </r>
    <r>
      <rPr>
        <b/>
        <sz val="11"/>
        <color theme="1"/>
        <rFont val="Aptos Narrow"/>
        <family val="2"/>
        <scheme val="minor"/>
      </rPr>
      <t>Non-Travel</t>
    </r>
    <r>
      <rPr>
        <sz val="11"/>
        <color theme="1"/>
        <rFont val="Aptos Narrow"/>
        <family val="2"/>
        <scheme val="minor"/>
      </rPr>
      <t xml:space="preserve"> and </t>
    </r>
    <r>
      <rPr>
        <b/>
        <sz val="11"/>
        <color theme="1"/>
        <rFont val="Aptos Narrow"/>
        <family val="2"/>
        <scheme val="minor"/>
      </rPr>
      <t>Travel Frequently</t>
    </r>
    <r>
      <rPr>
        <sz val="11"/>
        <color theme="1"/>
        <rFont val="Aptos Narrow"/>
        <family val="2"/>
        <scheme val="minor"/>
      </rPr>
      <t xml:space="preserve"> employees, while employees who </t>
    </r>
    <r>
      <rPr>
        <b/>
        <sz val="11"/>
        <color theme="1"/>
        <rFont val="Aptos Narrow"/>
        <family val="2"/>
        <scheme val="minor"/>
      </rPr>
      <t>Travel Rarely</t>
    </r>
    <r>
      <rPr>
        <sz val="11"/>
        <color theme="1"/>
        <rFont val="Aptos Narrow"/>
        <family val="2"/>
        <scheme val="minor"/>
      </rPr>
      <t xml:space="preserve"> have a slightly lower average score of </t>
    </r>
    <r>
      <rPr>
        <b/>
        <sz val="11"/>
        <color theme="1"/>
        <rFont val="Aptos Narrow"/>
        <family val="2"/>
        <scheme val="minor"/>
      </rPr>
      <t>2.70</t>
    </r>
    <r>
      <rPr>
        <sz val="11"/>
        <color theme="1"/>
        <rFont val="Aptos Narrow"/>
        <family val="2"/>
        <scheme val="minor"/>
      </rPr>
      <t xml:space="preserve">. Overall, the company-wide average job satisfaction is </t>
    </r>
    <r>
      <rPr>
        <b/>
        <sz val="11"/>
        <color theme="1"/>
        <rFont val="Aptos Narrow"/>
        <family val="2"/>
        <scheme val="minor"/>
      </rPr>
      <t>2.73</t>
    </r>
    <r>
      <rPr>
        <sz val="11"/>
        <color theme="1"/>
        <rFont val="Aptos Narrow"/>
        <family val="2"/>
        <scheme val="minor"/>
      </rPr>
      <t>, indicating only minor differences across business travel categories.</t>
    </r>
  </si>
  <si>
    <t>Business travel frequency appears to have little influence on employee job satisfaction. Employees across all travel categories report similar satisfaction levels, suggesting that travel requirements are not a major driver of job satisfaction.</t>
  </si>
  <si>
    <t>Continue monitoring employee feedback related to business travel, but prioritize improving broader workplace factors such as career growth, leadership, recognition, and work environment, as these are likely to have a greater impact on job satisfaction.</t>
  </si>
  <si>
    <t>How do years since last promotion affect employee performance?</t>
  </si>
  <si>
    <t>Total Performance Rating</t>
  </si>
  <si>
    <t>Last Promotion Years</t>
  </si>
  <si>
    <r>
      <t xml:space="preserve">The percentage of employees receiving a </t>
    </r>
    <r>
      <rPr>
        <b/>
        <sz val="11"/>
        <color theme="1"/>
        <rFont val="Aptos Narrow"/>
        <family val="2"/>
        <scheme val="minor"/>
      </rPr>
      <t>Performance Rating of 4</t>
    </r>
    <r>
      <rPr>
        <sz val="11"/>
        <color theme="1"/>
        <rFont val="Aptos Narrow"/>
        <family val="2"/>
        <scheme val="minor"/>
      </rPr>
      <t xml:space="preserve"> varies across different promotion intervals. Employees who were promoted </t>
    </r>
    <r>
      <rPr>
        <b/>
        <sz val="11"/>
        <color theme="1"/>
        <rFont val="Aptos Narrow"/>
        <family val="2"/>
        <scheme val="minor"/>
      </rPr>
      <t>within the last year (0 years)</t>
    </r>
    <r>
      <rPr>
        <sz val="11"/>
        <color theme="1"/>
        <rFont val="Aptos Narrow"/>
        <family val="2"/>
        <scheme val="minor"/>
      </rPr>
      <t xml:space="preserve"> have </t>
    </r>
    <r>
      <rPr>
        <b/>
        <sz val="11"/>
        <color theme="1"/>
        <rFont val="Aptos Narrow"/>
        <family val="2"/>
        <scheme val="minor"/>
      </rPr>
      <t>16.52%</t>
    </r>
    <r>
      <rPr>
        <sz val="11"/>
        <color theme="1"/>
        <rFont val="Aptos Narrow"/>
        <family val="2"/>
        <scheme val="minor"/>
      </rPr>
      <t xml:space="preserve"> of high performance ratings, slightly above the overall average of </t>
    </r>
    <r>
      <rPr>
        <b/>
        <sz val="11"/>
        <color theme="1"/>
        <rFont val="Aptos Narrow"/>
        <family val="2"/>
        <scheme val="minor"/>
      </rPr>
      <t>15.37%</t>
    </r>
    <r>
      <rPr>
        <sz val="11"/>
        <color theme="1"/>
        <rFont val="Aptos Narrow"/>
        <family val="2"/>
        <scheme val="minor"/>
      </rPr>
      <t>. While some categories with longer promotion gaps show higher percentages, they represent relatively few employees, making those results less reliable. Overall, there is no consistent trend indicating that years since the last promotion significantly affect employee performance.</t>
    </r>
  </si>
  <si>
    <t>Employee performance remains relatively stable regardless of the time since the last promotion. Variations in smaller employee groups are likely due to limited sample sizes rather than a meaningful relationship between promotion timing and performance.</t>
  </si>
  <si>
    <t>Continue promoting employees based on merit and performance rather than fixed timelines. Complement promotion decisions with regular feedback, recognition, and career development opportunities to maintain employee motivation and performance.</t>
  </si>
  <si>
    <t>Chart 1</t>
  </si>
  <si>
    <t>Chart 2</t>
  </si>
  <si>
    <t>Chart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</si>
</sst>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00"/>
    <numFmt numFmtId="179" formatCode="&quot;₹&quot;\ #,##0.00"/>
  </numFmts>
  <fonts count="23">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theme="1"/>
      <name val="Arial Unicode MS"/>
    </font>
    <font>
      <b/>
      <sz val="16"/>
      <color theme="1"/>
      <name val="Calibri"/>
      <family val="2"/>
    </font>
    <font>
      <b/>
      <sz val="12"/>
      <color theme="0"/>
      <name val="Calibri"/>
      <family val="2"/>
    </font>
    <font>
      <u/>
      <sz val="11"/>
      <color theme="10"/>
      <name val="Aptos Narrow"/>
      <family val="2"/>
      <scheme val="minor"/>
    </font>
    <font>
      <sz val="11"/>
      <color rgb="FF000000"/>
      <name val="ArialMT"/>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theme="4"/>
        <bgColor indexed="64"/>
      </patternFill>
    </fill>
    <fill>
      <patternFill patternType="solid">
        <fgColor theme="0" tint="-4.9989318521683403E-2"/>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0" fontId="21" fillId="0" borderId="0" applyNumberFormat="0" applyFill="0" applyBorder="0" applyAlignment="0" applyProtection="0"/>
  </cellStyleXfs>
  <cellXfs count="43">
    <xf numFmtId="0" fontId="0" fillId="0" borderId="0" xfId="0"/>
    <xf numFmtId="0" fontId="16" fillId="33" borderId="10" xfId="0" applyFont="1" applyFill="1" applyBorder="1"/>
    <xf numFmtId="0" fontId="0" fillId="0" borderId="10" xfId="0" applyBorder="1"/>
    <xf numFmtId="0" fontId="16" fillId="33" borderId="0" xfId="0" applyFont="1" applyFill="1"/>
    <xf numFmtId="0" fontId="0" fillId="0" borderId="0" xfId="0" applyAlignment="1">
      <alignment vertical="center"/>
    </xf>
    <xf numFmtId="0" fontId="18" fillId="0" borderId="0" xfId="0" applyFont="1" applyAlignment="1">
      <alignment vertical="center"/>
    </xf>
    <xf numFmtId="10" fontId="0" fillId="0" borderId="0" xfId="42" applyNumberFormat="1" applyFont="1"/>
    <xf numFmtId="0" fontId="0" fillId="0" borderId="0" xfId="0" applyBorder="1"/>
    <xf numFmtId="0" fontId="16" fillId="0" borderId="10" xfId="0" applyFont="1" applyBorder="1"/>
    <xf numFmtId="0" fontId="18" fillId="0" borderId="10" xfId="0" applyFont="1" applyBorder="1" applyAlignment="1">
      <alignment vertical="center"/>
    </xf>
    <xf numFmtId="10" fontId="0" fillId="0" borderId="10" xfId="42" applyNumberFormat="1" applyFont="1" applyBorder="1"/>
    <xf numFmtId="0" fontId="0" fillId="0" borderId="0" xfId="0" applyAlignment="1">
      <alignment wrapText="1"/>
    </xf>
    <xf numFmtId="0" fontId="0" fillId="0" borderId="0" xfId="0" applyAlignment="1">
      <alignment vertical="top" wrapText="1"/>
    </xf>
    <xf numFmtId="0" fontId="0" fillId="33" borderId="0" xfId="0" applyFill="1"/>
    <xf numFmtId="0" fontId="19" fillId="0" borderId="0" xfId="0" applyFont="1" applyFill="1" applyAlignment="1"/>
    <xf numFmtId="0" fontId="0" fillId="34" borderId="0" xfId="0" applyFill="1"/>
    <xf numFmtId="0" fontId="13" fillId="34" borderId="0" xfId="0" applyFont="1" applyFill="1"/>
    <xf numFmtId="0" fontId="20" fillId="34" borderId="0" xfId="0" applyFont="1" applyFill="1"/>
    <xf numFmtId="0" fontId="0" fillId="0" borderId="0" xfId="0" applyAlignment="1">
      <alignment vertical="top"/>
    </xf>
    <xf numFmtId="0" fontId="13" fillId="34" borderId="0" xfId="0" applyFont="1" applyFill="1" applyAlignment="1">
      <alignment vertical="top" wrapText="1"/>
    </xf>
    <xf numFmtId="0" fontId="21" fillId="0" borderId="0" xfId="43"/>
    <xf numFmtId="0" fontId="0" fillId="0" borderId="0" xfId="0" pivotButton="1"/>
    <xf numFmtId="0" fontId="0" fillId="0" borderId="0" xfId="0" applyAlignment="1">
      <alignment horizontal="left"/>
    </xf>
    <xf numFmtId="0" fontId="0" fillId="0" borderId="0" xfId="0" applyNumberFormat="1"/>
    <xf numFmtId="10" fontId="16" fillId="33" borderId="0" xfId="42" applyNumberFormat="1" applyFont="1" applyFill="1"/>
    <xf numFmtId="0" fontId="20" fillId="0" borderId="0" xfId="0" applyFont="1" applyFill="1"/>
    <xf numFmtId="0" fontId="13" fillId="34" borderId="0" xfId="0" applyFont="1" applyFill="1" applyAlignment="1">
      <alignment horizontal="left"/>
    </xf>
    <xf numFmtId="2" fontId="18" fillId="0" borderId="0" xfId="0" applyNumberFormat="1" applyFont="1" applyAlignment="1">
      <alignment vertical="center"/>
    </xf>
    <xf numFmtId="0" fontId="16" fillId="0" borderId="0" xfId="0" applyFont="1" applyAlignment="1">
      <alignment wrapText="1"/>
    </xf>
    <xf numFmtId="176" fontId="0" fillId="0" borderId="0" xfId="0" applyNumberFormat="1"/>
    <xf numFmtId="2" fontId="0" fillId="0" borderId="0" xfId="0" applyNumberFormat="1"/>
    <xf numFmtId="0" fontId="0" fillId="0" borderId="0" xfId="0" applyFont="1" applyAlignment="1">
      <alignment vertical="top" wrapText="1"/>
    </xf>
    <xf numFmtId="0" fontId="13" fillId="34" borderId="10" xfId="0" applyFont="1" applyFill="1" applyBorder="1" applyAlignment="1">
      <alignment horizontal="left"/>
    </xf>
    <xf numFmtId="0" fontId="16" fillId="33" borderId="10" xfId="0" applyFont="1" applyFill="1" applyBorder="1" applyAlignment="1">
      <alignment wrapText="1"/>
    </xf>
    <xf numFmtId="179" fontId="0" fillId="0" borderId="10" xfId="0" applyNumberFormat="1" applyBorder="1"/>
    <xf numFmtId="0" fontId="0" fillId="0" borderId="0" xfId="0" applyFont="1" applyFill="1" applyAlignment="1">
      <alignment vertical="top"/>
    </xf>
    <xf numFmtId="0" fontId="16" fillId="33" borderId="10" xfId="0" applyFont="1" applyFill="1" applyBorder="1" applyAlignment="1">
      <alignment horizontal="center" vertical="center" wrapText="1"/>
    </xf>
    <xf numFmtId="0" fontId="16" fillId="0" borderId="10" xfId="0" applyFont="1" applyBorder="1" applyAlignment="1">
      <alignment horizontal="center" vertical="center" wrapText="1"/>
    </xf>
    <xf numFmtId="0" fontId="13" fillId="34" borderId="0" xfId="0" applyFont="1" applyFill="1" applyBorder="1" applyAlignment="1">
      <alignment horizontal="center" vertical="center" wrapText="1"/>
    </xf>
    <xf numFmtId="0" fontId="22" fillId="0" borderId="0" xfId="0" applyFont="1" applyAlignment="1">
      <alignment vertical="top" wrapText="1"/>
    </xf>
    <xf numFmtId="0" fontId="0" fillId="0" borderId="0" xfId="0" applyFill="1"/>
    <xf numFmtId="0" fontId="0" fillId="34" borderId="0" xfId="0" applyFill="1" applyAlignment="1">
      <alignment horizontal="center"/>
    </xf>
    <xf numFmtId="0" fontId="0" fillId="35" borderId="0" xfId="0" applyFill="1"/>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3"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numFmt numFmtId="2" formatCode="0.0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[HR_Analytics_Employee_Attrition_Analysis.xlsx]Dashboard_Pivot!PivotTable29</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accent1"/>
                </a:solidFill>
                <a:latin typeface="Bahnschrift SemiBold" panose="020B0502040204020203" pitchFamily="34" charset="0"/>
              </a:rPr>
              <a:t>Attrition by Department</a:t>
            </a:r>
            <a:endParaRPr lang="en-US" b="1">
              <a:solidFill>
                <a:schemeClr val="accent1"/>
              </a:solidFill>
              <a:latin typeface="Bahnschrift SemiBold" panose="020B0502040204020203" pitchFamily="34" charset="0"/>
            </a:endParaRPr>
          </a:p>
        </c:rich>
      </c:tx>
      <c:layout>
        <c:manualLayout>
          <c:xMode val="edge"/>
          <c:yMode val="edge"/>
          <c:x val="0.25269491802369121"/>
          <c:y val="1.341718900382125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5555560080243069E-2"/>
          <c:y val="0.24691008476071447"/>
          <c:w val="0.96444443991975692"/>
          <c:h val="0.50373092936747987"/>
        </c:manualLayout>
      </c:layout>
      <c:barChart>
        <c:barDir val="col"/>
        <c:grouping val="clustered"/>
        <c:varyColors val="0"/>
        <c:ser>
          <c:idx val="0"/>
          <c:order val="0"/>
          <c:tx>
            <c:strRef>
              <c:f>Dashboard_Pivot!$B$2:$B$3</c:f>
              <c:strCache>
                <c:ptCount val="1"/>
                <c:pt idx="0">
                  <c:v>Yes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Dashboard_Pivot!$A$4:$A$7</c:f>
              <c:strCache>
                <c:ptCount val="3"/>
                <c:pt idx="0">
                  <c:v>Human Resources</c:v>
                </c:pt>
                <c:pt idx="1">
                  <c:v>Research &amp; Development</c:v>
                </c:pt>
                <c:pt idx="2">
                  <c:v>Sales</c:v>
                </c:pt>
              </c:strCache>
            </c:strRef>
          </c:cat>
          <c:val>
            <c:numRef>
              <c:f>Dashboard_Pivot!$B$4:$B$7</c:f>
              <c:numCache>
                <c:formatCode>General</c:formatCode>
                <c:ptCount val="3"/>
                <c:pt idx="0">
                  <c:v>12</c:v>
                </c:pt>
                <c:pt idx="1">
                  <c:v>133</c:v>
                </c:pt>
                <c:pt idx="2">
                  <c:v>92</c:v>
                </c:pt>
              </c:numCache>
            </c:numRef>
          </c:val>
          <c:extLst>
            <c:ext xmlns:c16="http://schemas.microsoft.com/office/drawing/2014/chart" uri="{C3380CC4-5D6E-409C-BE32-E72D297353CC}">
              <c16:uniqueId val="{00000000-B471-415C-B6F4-D49BD0B4BE47}"/>
            </c:ext>
          </c:extLst>
        </c:ser>
        <c:dLbls>
          <c:dLblPos val="outEnd"/>
          <c:showLegendKey val="0"/>
          <c:showVal val="1"/>
          <c:showCatName val="0"/>
          <c:showSerName val="0"/>
          <c:showPercent val="0"/>
          <c:showBubbleSize val="0"/>
        </c:dLbls>
        <c:gapWidth val="150"/>
        <c:overlap val="50"/>
        <c:axId val="1602087071"/>
        <c:axId val="1511850767"/>
      </c:barChart>
      <c:catAx>
        <c:axId val="1602087071"/>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511850767"/>
        <c:crosses val="autoZero"/>
        <c:auto val="1"/>
        <c:lblAlgn val="ctr"/>
        <c:lblOffset val="100"/>
        <c:noMultiLvlLbl val="0"/>
      </c:catAx>
      <c:valAx>
        <c:axId val="1511850767"/>
        <c:scaling>
          <c:orientation val="minMax"/>
        </c:scaling>
        <c:delete val="1"/>
        <c:axPos val="l"/>
        <c:numFmt formatCode="General" sourceLinked="1"/>
        <c:majorTickMark val="none"/>
        <c:minorTickMark val="none"/>
        <c:tickLblPos val="nextTo"/>
        <c:crossAx val="16020870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[HR_Analytics_Employee_Attrition_Analysis.xlsx]Dashboard_Pivot!PivotTable30</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accent1"/>
                </a:solidFill>
                <a:latin typeface="Bahnschrift SemiBold" panose="020B0502040204020203" pitchFamily="34" charset="0"/>
              </a:rPr>
              <a:t>Attrition by Marital Status</a:t>
            </a:r>
            <a:endParaRPr lang="en-IN" b="1">
              <a:solidFill>
                <a:schemeClr val="accent1"/>
              </a:solidFill>
              <a:latin typeface="Bahnschrift SemiBold"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rgbClr val="FF0000"/>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0651262565348664"/>
                  <c:h val="0.23649195205502524"/>
                </c:manualLayout>
              </c15:layout>
            </c:ext>
          </c:extLst>
        </c:dLbl>
      </c:pivotFmt>
      <c:pivotFmt>
        <c:idx val="7"/>
        <c:spPr>
          <a:solidFill>
            <a:srgbClr val="FFC000"/>
          </a:solidFill>
          <a:ln w="19050">
            <a:solidFill>
              <a:schemeClr val="lt1"/>
            </a:solidFill>
          </a:ln>
          <a:effectLst/>
        </c:spPr>
        <c:dLbl>
          <c:idx val="0"/>
          <c:tx>
            <c:rich>
              <a:bodyPr rot="0" spcFirstLastPara="1" vertOverflow="ellipsis" vert="horz" wrap="square" lIns="38100" tIns="19050" rIns="38100" bIns="19050" anchor="ctr" anchorCtr="0">
                <a:spAutoFit/>
              </a:bodyPr>
              <a:lstStyle/>
              <a:p>
                <a:pPr algn="ctr">
                  <a:defRPr sz="1400" b="1" i="0" u="none" strike="noStrike" kern="1200" baseline="0">
                    <a:solidFill>
                      <a:sysClr val="windowText" lastClr="000000"/>
                    </a:solidFill>
                    <a:latin typeface="+mn-lt"/>
                    <a:ea typeface="+mn-ea"/>
                    <a:cs typeface="+mn-cs"/>
                  </a:defRPr>
                </a:pPr>
                <a:fld id="{4E4D8C51-2B07-4A3A-B96A-74363F4E57E1}" type="CATEGORYNAME">
                  <a:rPr lang="en-US" sz="1400"/>
                  <a:pPr algn="ctr">
                    <a:defRPr sz="1400" b="1">
                      <a:solidFill>
                        <a:sysClr val="windowText" lastClr="000000"/>
                      </a:solidFill>
                    </a:defRPr>
                  </a:pPr>
                  <a:t>[CATEGORY NAME]</a:t>
                </a:fld>
                <a:r>
                  <a:rPr lang="en-US" sz="1400" baseline="0"/>
                  <a:t>, </a:t>
                </a:r>
                <a:fld id="{09119785-97E5-40A6-B70D-B37A2F8C3920}" type="VALUE">
                  <a:rPr lang="en-US" sz="1400" baseline="0"/>
                  <a:pPr algn="ctr">
                    <a:defRPr sz="1400" b="1">
                      <a:solidFill>
                        <a:sysClr val="windowText" lastClr="000000"/>
                      </a:solidFill>
                    </a:defRPr>
                  </a:pPr>
                  <a:t>[VALUE]</a:t>
                </a:fld>
                <a:r>
                  <a:rPr lang="en-US" sz="1400" baseline="0"/>
                  <a:t>, </a:t>
                </a:r>
                <a:fld id="{5E8FE234-8855-4BFA-97D9-93E226B7939F}" type="PERCENTAGE">
                  <a:rPr lang="en-US" sz="1400" baseline="0"/>
                  <a:pPr algn="ctr">
                    <a:defRPr sz="1400" b="1">
                      <a:solidFill>
                        <a:sysClr val="windowText" lastClr="000000"/>
                      </a:solidFill>
                    </a:defRPr>
                  </a:pPr>
                  <a:t>[PERCENTAGE]</a:t>
                </a:fld>
                <a:endParaRPr lang="en-US" sz="1400" baseline="0"/>
              </a:p>
            </c:rich>
          </c:tx>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7693154314690105"/>
                  <c:h val="0.24693045355673041"/>
                </c:manualLayout>
              </c15:layout>
              <c15:dlblFieldTable/>
              <c15:showDataLabelsRange val="0"/>
            </c:ext>
          </c:extLst>
        </c:dLbl>
      </c:pivotFmt>
      <c:pivotFmt>
        <c:idx val="8"/>
        <c:spPr>
          <a:solidFill>
            <a:schemeClr val="tx2">
              <a:lumMod val="50000"/>
              <a:lumOff val="50000"/>
            </a:schemeClr>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4367352629400865"/>
                  <c:h val="0.24693045355673041"/>
                </c:manualLayout>
              </c15:layout>
            </c:ext>
          </c:extLst>
        </c:dLbl>
      </c:pivotFmt>
    </c:pivotFmts>
    <c:plotArea>
      <c:layout>
        <c:manualLayout>
          <c:layoutTarget val="inner"/>
          <c:xMode val="edge"/>
          <c:yMode val="edge"/>
          <c:x val="0.193718188088669"/>
          <c:y val="0.14903194250627341"/>
          <c:w val="0.62445258241366186"/>
          <c:h val="0.75468690558907403"/>
        </c:manualLayout>
      </c:layout>
      <c:doughnutChart>
        <c:varyColors val="1"/>
        <c:ser>
          <c:idx val="0"/>
          <c:order val="0"/>
          <c:tx>
            <c:strRef>
              <c:f>Dashboard_Pivot!$B$13:$B$14</c:f>
              <c:strCache>
                <c:ptCount val="1"/>
                <c:pt idx="0">
                  <c:v>Yes</c:v>
                </c:pt>
              </c:strCache>
            </c:strRef>
          </c:tx>
          <c:dPt>
            <c:idx val="0"/>
            <c:bubble3D val="0"/>
            <c:spPr>
              <a:solidFill>
                <a:srgbClr val="FF0000"/>
              </a:solidFill>
              <a:ln w="19050">
                <a:solidFill>
                  <a:schemeClr val="lt1"/>
                </a:solidFill>
              </a:ln>
              <a:effectLst/>
            </c:spPr>
            <c:extLst>
              <c:ext xmlns:c16="http://schemas.microsoft.com/office/drawing/2014/chart" uri="{C3380CC4-5D6E-409C-BE32-E72D297353CC}">
                <c16:uniqueId val="{00000001-B53F-428B-9C1D-73842196DCEA}"/>
              </c:ext>
            </c:extLst>
          </c:dPt>
          <c:dPt>
            <c:idx val="1"/>
            <c:bubble3D val="0"/>
            <c:spPr>
              <a:solidFill>
                <a:srgbClr val="FFC000"/>
              </a:solidFill>
              <a:ln w="19050">
                <a:solidFill>
                  <a:schemeClr val="lt1"/>
                </a:solidFill>
              </a:ln>
              <a:effectLst/>
            </c:spPr>
            <c:extLst>
              <c:ext xmlns:c16="http://schemas.microsoft.com/office/drawing/2014/chart" uri="{C3380CC4-5D6E-409C-BE32-E72D297353CC}">
                <c16:uniqueId val="{00000003-B53F-428B-9C1D-73842196DCEA}"/>
              </c:ext>
            </c:extLst>
          </c:dPt>
          <c:dPt>
            <c:idx val="2"/>
            <c:bubble3D val="0"/>
            <c:spPr>
              <a:solidFill>
                <a:schemeClr val="tx2">
                  <a:lumMod val="50000"/>
                  <a:lumOff val="50000"/>
                </a:schemeClr>
              </a:solidFill>
              <a:ln w="19050">
                <a:solidFill>
                  <a:schemeClr val="lt1"/>
                </a:solidFill>
              </a:ln>
              <a:effectLst/>
            </c:spPr>
            <c:extLst>
              <c:ext xmlns:c16="http://schemas.microsoft.com/office/drawing/2014/chart" uri="{C3380CC4-5D6E-409C-BE32-E72D297353CC}">
                <c16:uniqueId val="{00000005-B53F-428B-9C1D-73842196DCEA}"/>
              </c:ext>
            </c:extLst>
          </c:dPt>
          <c:dLbls>
            <c:dLbl>
              <c:idx val="0"/>
              <c:showLegendKey val="0"/>
              <c:showVal val="0"/>
              <c:showCatName val="1"/>
              <c:showSerName val="0"/>
              <c:showPercent val="1"/>
              <c:showBubbleSize val="0"/>
              <c:extLst>
                <c:ext xmlns:c15="http://schemas.microsoft.com/office/drawing/2012/chart" uri="{CE6537A1-D6FC-4f65-9D91-7224C49458BB}">
                  <c15:layout>
                    <c:manualLayout>
                      <c:w val="0.30651262565348664"/>
                      <c:h val="0.23649195205502524"/>
                    </c:manualLayout>
                  </c15:layout>
                </c:ext>
                <c:ext xmlns:c16="http://schemas.microsoft.com/office/drawing/2014/chart" uri="{C3380CC4-5D6E-409C-BE32-E72D297353CC}">
                  <c16:uniqueId val="{00000001-B53F-428B-9C1D-73842196DCEA}"/>
                </c:ext>
              </c:extLst>
            </c:dLbl>
            <c:dLbl>
              <c:idx val="1"/>
              <c:tx>
                <c:rich>
                  <a:bodyPr rot="0" spcFirstLastPara="1" vertOverflow="ellipsis" vert="horz" wrap="square" lIns="38100" tIns="19050" rIns="38100" bIns="19050" anchor="ctr" anchorCtr="0">
                    <a:spAutoFit/>
                  </a:bodyPr>
                  <a:lstStyle/>
                  <a:p>
                    <a:pPr algn="ctr">
                      <a:defRPr sz="1400" b="1" i="0" u="none" strike="noStrike" kern="1200" baseline="0">
                        <a:solidFill>
                          <a:sysClr val="windowText" lastClr="000000"/>
                        </a:solidFill>
                        <a:latin typeface="+mn-lt"/>
                        <a:ea typeface="+mn-ea"/>
                        <a:cs typeface="+mn-cs"/>
                      </a:defRPr>
                    </a:pPr>
                    <a:fld id="{4E4D8C51-2B07-4A3A-B96A-74363F4E57E1}" type="CATEGORYNAME">
                      <a:rPr lang="en-US" sz="1400"/>
                      <a:pPr algn="ctr">
                        <a:defRPr sz="1400" b="1">
                          <a:solidFill>
                            <a:sysClr val="windowText" lastClr="000000"/>
                          </a:solidFill>
                        </a:defRPr>
                      </a:pPr>
                      <a:t>[CATEGORY NAME]</a:t>
                    </a:fld>
                    <a:r>
                      <a:rPr lang="en-US" sz="1400" baseline="0"/>
                      <a:t>, </a:t>
                    </a:r>
                    <a:fld id="{09119785-97E5-40A6-B70D-B37A2F8C3920}" type="VALUE">
                      <a:rPr lang="en-US" sz="1400" baseline="0"/>
                      <a:pPr algn="ctr">
                        <a:defRPr sz="1400" b="1">
                          <a:solidFill>
                            <a:sysClr val="windowText" lastClr="000000"/>
                          </a:solidFill>
                        </a:defRPr>
                      </a:pPr>
                      <a:t>[VALUE]</a:t>
                    </a:fld>
                    <a:r>
                      <a:rPr lang="en-US" sz="1400" baseline="0"/>
                      <a:t>, </a:t>
                    </a:r>
                    <a:fld id="{5E8FE234-8855-4BFA-97D9-93E226B7939F}" type="PERCENTAGE">
                      <a:rPr lang="en-US" sz="1400" baseline="0"/>
                      <a:pPr algn="ctr">
                        <a:defRPr sz="1400" b="1">
                          <a:solidFill>
                            <a:sysClr val="windowText" lastClr="000000"/>
                          </a:solidFill>
                        </a:defRPr>
                      </a:pPr>
                      <a:t>[PERCENTAGE]</a:t>
                    </a:fld>
                    <a:endParaRPr lang="en-US" sz="1400" baseline="0"/>
                  </a:p>
                </c:rich>
              </c:tx>
              <c:spPr>
                <a:noFill/>
                <a:ln>
                  <a:noFill/>
                </a:ln>
                <a:effectLst/>
              </c:spPr>
              <c:txPr>
                <a:bodyPr rot="0" spcFirstLastPara="1" vertOverflow="ellipsis" vert="horz" wrap="square" lIns="38100" tIns="19050" rIns="38100" bIns="19050" anchor="ctr" anchorCtr="0">
                  <a:spAutoFit/>
                </a:bodyPr>
                <a:lstStyle/>
                <a:p>
                  <a:pPr algn="ctr">
                    <a:defRPr sz="14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7693154314690105"/>
                      <c:h val="0.24693045355673041"/>
                    </c:manualLayout>
                  </c15:layout>
                  <c15:dlblFieldTable/>
                  <c15:showDataLabelsRange val="0"/>
                </c:ext>
                <c:ext xmlns:c16="http://schemas.microsoft.com/office/drawing/2014/chart" uri="{C3380CC4-5D6E-409C-BE32-E72D297353CC}">
                  <c16:uniqueId val="{00000003-B53F-428B-9C1D-73842196DCEA}"/>
                </c:ext>
              </c:extLst>
            </c:dLbl>
            <c:dLbl>
              <c:idx val="2"/>
              <c:showLegendKey val="0"/>
              <c:showVal val="0"/>
              <c:showCatName val="1"/>
              <c:showSerName val="0"/>
              <c:showPercent val="1"/>
              <c:showBubbleSize val="0"/>
              <c:extLst>
                <c:ext xmlns:c15="http://schemas.microsoft.com/office/drawing/2012/chart" uri="{CE6537A1-D6FC-4f65-9D91-7224C49458BB}">
                  <c15:layout>
                    <c:manualLayout>
                      <c:w val="0.24367352629400865"/>
                      <c:h val="0.24693045355673041"/>
                    </c:manualLayout>
                  </c15:layout>
                </c:ext>
                <c:ext xmlns:c16="http://schemas.microsoft.com/office/drawing/2014/chart" uri="{C3380CC4-5D6E-409C-BE32-E72D297353CC}">
                  <c16:uniqueId val="{00000005-B53F-428B-9C1D-73842196DCEA}"/>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Dashboard_Pivot!$A$15:$A$18</c:f>
              <c:strCache>
                <c:ptCount val="3"/>
                <c:pt idx="0">
                  <c:v>Divorced</c:v>
                </c:pt>
                <c:pt idx="1">
                  <c:v>Married</c:v>
                </c:pt>
                <c:pt idx="2">
                  <c:v>Single</c:v>
                </c:pt>
              </c:strCache>
            </c:strRef>
          </c:cat>
          <c:val>
            <c:numRef>
              <c:f>Dashboard_Pivot!$B$15:$B$18</c:f>
              <c:numCache>
                <c:formatCode>General</c:formatCode>
                <c:ptCount val="3"/>
                <c:pt idx="0">
                  <c:v>33</c:v>
                </c:pt>
                <c:pt idx="1">
                  <c:v>84</c:v>
                </c:pt>
                <c:pt idx="2">
                  <c:v>120</c:v>
                </c:pt>
              </c:numCache>
            </c:numRef>
          </c:val>
          <c:extLst>
            <c:ext xmlns:c16="http://schemas.microsoft.com/office/drawing/2014/chart" uri="{C3380CC4-5D6E-409C-BE32-E72D297353CC}">
              <c16:uniqueId val="{00000006-B53F-428B-9C1D-73842196DCEA}"/>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b"/>
      <c:layout>
        <c:manualLayout>
          <c:xMode val="edge"/>
          <c:yMode val="edge"/>
          <c:x val="0.20743902235150544"/>
          <c:y val="0.91261519393409141"/>
          <c:w val="0.58512162094387887"/>
          <c:h val="7.8125546806649168E-2"/>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chemeClr val="accent1"/>
                </a:solidFill>
                <a:latin typeface="Bahnschrift SemiBold" panose="020B0502040204020203" pitchFamily="34" charset="0"/>
              </a:rPr>
              <a:t>Attrition Rate by Job Involvement</a:t>
            </a:r>
            <a:endParaRPr lang="en-US" sz="1400" b="1" i="0" u="none" strike="noStrike" kern="1200" spc="0" baseline="0">
              <a:solidFill>
                <a:schemeClr val="accent1"/>
              </a:solidFill>
              <a:latin typeface="Bahnschrift SemiBold"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Medium_Pivot!$E$11:$E$14</c:f>
              <c:numCache>
                <c:formatCode>0.00%</c:formatCode>
                <c:ptCount val="4"/>
                <c:pt idx="0">
                  <c:v>0.33734939759036142</c:v>
                </c:pt>
                <c:pt idx="1">
                  <c:v>0.18933333333333333</c:v>
                </c:pt>
                <c:pt idx="2">
                  <c:v>0.14400921658986174</c:v>
                </c:pt>
                <c:pt idx="3">
                  <c:v>9.0277777777777776E-2</c:v>
                </c:pt>
              </c:numCache>
            </c:numRef>
          </c:val>
          <c:extLst>
            <c:ext xmlns:c16="http://schemas.microsoft.com/office/drawing/2014/chart" uri="{C3380CC4-5D6E-409C-BE32-E72D297353CC}">
              <c16:uniqueId val="{00000000-C5A4-41D7-8834-F23A5B21FA26}"/>
            </c:ext>
          </c:extLst>
        </c:ser>
        <c:dLbls>
          <c:dLblPos val="outEnd"/>
          <c:showLegendKey val="0"/>
          <c:showVal val="1"/>
          <c:showCatName val="0"/>
          <c:showSerName val="0"/>
          <c:showPercent val="0"/>
          <c:showBubbleSize val="0"/>
        </c:dLbls>
        <c:gapWidth val="219"/>
        <c:overlap val="-27"/>
        <c:axId val="1603373871"/>
        <c:axId val="1511884847"/>
      </c:barChart>
      <c:catAx>
        <c:axId val="1603373871"/>
        <c:scaling>
          <c:orientation val="minMax"/>
        </c:scaling>
        <c:delete val="0"/>
        <c:axPos val="b"/>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511884847"/>
        <c:crosses val="autoZero"/>
        <c:auto val="1"/>
        <c:lblAlgn val="ctr"/>
        <c:lblOffset val="100"/>
        <c:noMultiLvlLbl val="0"/>
      </c:catAx>
      <c:valAx>
        <c:axId val="151188484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6033738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accent1"/>
                </a:solidFill>
                <a:latin typeface="Bahnschrift SemiBold" panose="020B0502040204020203" pitchFamily="34" charset="0"/>
              </a:rPr>
              <a:t>Attrition Rate by Stock Option Level</a:t>
            </a:r>
            <a:endParaRPr lang="en-IN" b="1">
              <a:solidFill>
                <a:schemeClr val="accent1"/>
              </a:solidFill>
              <a:latin typeface="Bahnschrift SemiBold"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4440016258587035"/>
          <c:y val="0.22437760890327088"/>
          <c:w val="0.81085097092204561"/>
          <c:h val="0.67932179187030794"/>
        </c:manualLayout>
      </c:layout>
      <c:barChart>
        <c:barDir val="col"/>
        <c:grouping val="clustered"/>
        <c:varyColors val="0"/>
        <c:ser>
          <c:idx val="0"/>
          <c:order val="0"/>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Medium_Pivot!$E$57:$E$60</c:f>
              <c:numCache>
                <c:formatCode>0.00%</c:formatCode>
                <c:ptCount val="4"/>
                <c:pt idx="0">
                  <c:v>0.24405705229793978</c:v>
                </c:pt>
                <c:pt idx="1">
                  <c:v>9.3959731543624164E-2</c:v>
                </c:pt>
                <c:pt idx="2">
                  <c:v>7.5949367088607597E-2</c:v>
                </c:pt>
                <c:pt idx="3">
                  <c:v>0.17647058823529413</c:v>
                </c:pt>
              </c:numCache>
            </c:numRef>
          </c:val>
          <c:extLst>
            <c:ext xmlns:c16="http://schemas.microsoft.com/office/drawing/2014/chart" uri="{C3380CC4-5D6E-409C-BE32-E72D297353CC}">
              <c16:uniqueId val="{00000000-0A16-427E-BA5D-D8D458BD14BC}"/>
            </c:ext>
          </c:extLst>
        </c:ser>
        <c:dLbls>
          <c:dLblPos val="outEnd"/>
          <c:showLegendKey val="0"/>
          <c:showVal val="1"/>
          <c:showCatName val="0"/>
          <c:showSerName val="0"/>
          <c:showPercent val="0"/>
          <c:showBubbleSize val="0"/>
        </c:dLbls>
        <c:gapWidth val="219"/>
        <c:overlap val="-27"/>
        <c:axId val="1602020719"/>
        <c:axId val="1511848847"/>
      </c:barChart>
      <c:catAx>
        <c:axId val="1602020719"/>
        <c:scaling>
          <c:orientation val="minMax"/>
        </c:scaling>
        <c:delete val="0"/>
        <c:axPos val="b"/>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511848847"/>
        <c:crosses val="autoZero"/>
        <c:auto val="1"/>
        <c:lblAlgn val="ctr"/>
        <c:lblOffset val="100"/>
        <c:noMultiLvlLbl val="0"/>
      </c:catAx>
      <c:valAx>
        <c:axId val="151184884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6020207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chemeClr val="accent1"/>
                </a:solidFill>
                <a:latin typeface="Bahnschrift SemiBold" panose="020B0502040204020203" pitchFamily="34" charset="0"/>
              </a:rPr>
              <a:t>Attrition Rate by Training Times</a:t>
            </a:r>
          </a:p>
        </c:rich>
      </c:tx>
      <c:layout>
        <c:manualLayout>
          <c:xMode val="edge"/>
          <c:yMode val="edge"/>
          <c:x val="0.18101356515569586"/>
          <c:y val="1.057002831019787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Medium_Pivot!$E$34:$E$40</c:f>
              <c:numCache>
                <c:formatCode>0.00%</c:formatCode>
                <c:ptCount val="7"/>
                <c:pt idx="0">
                  <c:v>0.27777777777777779</c:v>
                </c:pt>
                <c:pt idx="1">
                  <c:v>0.12676056338028169</c:v>
                </c:pt>
                <c:pt idx="2">
                  <c:v>0.17915904936014626</c:v>
                </c:pt>
                <c:pt idx="3">
                  <c:v>0.14052953156822812</c:v>
                </c:pt>
                <c:pt idx="4">
                  <c:v>0.21138211382113822</c:v>
                </c:pt>
                <c:pt idx="5">
                  <c:v>0.11764705882352941</c:v>
                </c:pt>
                <c:pt idx="6">
                  <c:v>9.2307692307692313E-2</c:v>
                </c:pt>
              </c:numCache>
            </c:numRef>
          </c:val>
          <c:smooth val="0"/>
          <c:extLst>
            <c:ext xmlns:c16="http://schemas.microsoft.com/office/drawing/2014/chart" uri="{C3380CC4-5D6E-409C-BE32-E72D297353CC}">
              <c16:uniqueId val="{00000000-3F74-4AE9-A64C-1A8760FB67E8}"/>
            </c:ext>
          </c:extLst>
        </c:ser>
        <c:dLbls>
          <c:dLblPos val="t"/>
          <c:showLegendKey val="0"/>
          <c:showVal val="1"/>
          <c:showCatName val="0"/>
          <c:showSerName val="0"/>
          <c:showPercent val="0"/>
          <c:showBubbleSize val="0"/>
        </c:dLbls>
        <c:marker val="1"/>
        <c:smooth val="0"/>
        <c:axId val="1518850143"/>
        <c:axId val="1511879087"/>
      </c:lineChart>
      <c:catAx>
        <c:axId val="1518850143"/>
        <c:scaling>
          <c:orientation val="minMax"/>
        </c:scaling>
        <c:delete val="0"/>
        <c:axPos val="b"/>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511879087"/>
        <c:crosses val="autoZero"/>
        <c:auto val="1"/>
        <c:lblAlgn val="ctr"/>
        <c:lblOffset val="100"/>
        <c:noMultiLvlLbl val="0"/>
      </c:catAx>
      <c:valAx>
        <c:axId val="151187908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518850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[HR_Analytics_Employee_Attrition_Analysis.xlsx]Basic_Pivot!PivotTable2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chemeClr val="accent1"/>
                </a:solidFill>
                <a:latin typeface="Bahnschrift SemiBold" panose="020B0502040204020203" pitchFamily="34" charset="0"/>
              </a:rPr>
              <a:t>Average Job Satisfaction by Job Role</a:t>
            </a:r>
          </a:p>
        </c:rich>
      </c:tx>
      <c:layout>
        <c:manualLayout>
          <c:xMode val="edge"/>
          <c:yMode val="edge"/>
          <c:x val="0.1171140607424072"/>
          <c:y val="4.625550928206027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Basic_Pivot!$B$20</c:f>
              <c:strCache>
                <c:ptCount val="1"/>
                <c:pt idx="0">
                  <c:v>Total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Basic_Pivot!$A$21:$A$30</c:f>
              <c:strCache>
                <c:ptCount val="9"/>
                <c:pt idx="0">
                  <c:v>Healthcare Representative</c:v>
                </c:pt>
                <c:pt idx="1">
                  <c:v>Research Scientist</c:v>
                </c:pt>
                <c:pt idx="2">
                  <c:v>Sales Executive</c:v>
                </c:pt>
                <c:pt idx="3">
                  <c:v>Sales Representative</c:v>
                </c:pt>
                <c:pt idx="4">
                  <c:v>Manager</c:v>
                </c:pt>
                <c:pt idx="5">
                  <c:v>Research Director</c:v>
                </c:pt>
                <c:pt idx="6">
                  <c:v>Laboratory Technician</c:v>
                </c:pt>
                <c:pt idx="7">
                  <c:v>Manufacturing Director</c:v>
                </c:pt>
                <c:pt idx="8">
                  <c:v>Human Resources</c:v>
                </c:pt>
              </c:strCache>
            </c:strRef>
          </c:cat>
          <c:val>
            <c:numRef>
              <c:f>Basic_Pivot!$B$21:$B$30</c:f>
              <c:numCache>
                <c:formatCode>0.00</c:formatCode>
                <c:ptCount val="9"/>
                <c:pt idx="0">
                  <c:v>2.7862595419847329</c:v>
                </c:pt>
                <c:pt idx="1">
                  <c:v>2.7739726027397262</c:v>
                </c:pt>
                <c:pt idx="2">
                  <c:v>2.7546012269938651</c:v>
                </c:pt>
                <c:pt idx="3">
                  <c:v>2.7349397590361444</c:v>
                </c:pt>
                <c:pt idx="4">
                  <c:v>2.7058823529411766</c:v>
                </c:pt>
                <c:pt idx="5">
                  <c:v>2.7</c:v>
                </c:pt>
                <c:pt idx="6">
                  <c:v>2.6911196911196913</c:v>
                </c:pt>
                <c:pt idx="7">
                  <c:v>2.682758620689655</c:v>
                </c:pt>
                <c:pt idx="8">
                  <c:v>2.5576923076923075</c:v>
                </c:pt>
              </c:numCache>
            </c:numRef>
          </c:val>
          <c:extLst>
            <c:ext xmlns:c16="http://schemas.microsoft.com/office/drawing/2014/chart" uri="{C3380CC4-5D6E-409C-BE32-E72D297353CC}">
              <c16:uniqueId val="{00000000-030E-4325-BB38-304D784BF543}"/>
            </c:ext>
          </c:extLst>
        </c:ser>
        <c:dLbls>
          <c:dLblPos val="outEnd"/>
          <c:showLegendKey val="0"/>
          <c:showVal val="1"/>
          <c:showCatName val="0"/>
          <c:showSerName val="0"/>
          <c:showPercent val="0"/>
          <c:showBubbleSize val="0"/>
        </c:dLbls>
        <c:gapWidth val="182"/>
        <c:axId val="1512088335"/>
        <c:axId val="1511829647"/>
      </c:barChart>
      <c:catAx>
        <c:axId val="151208833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solidFill>
                <a:latin typeface="+mn-lt"/>
                <a:ea typeface="+mn-ea"/>
                <a:cs typeface="+mn-cs"/>
              </a:defRPr>
            </a:pPr>
            <a:endParaRPr lang="en-US"/>
          </a:p>
        </c:txPr>
        <c:crossAx val="1511829647"/>
        <c:crosses val="autoZero"/>
        <c:auto val="1"/>
        <c:lblAlgn val="ctr"/>
        <c:lblOffset val="100"/>
        <c:noMultiLvlLbl val="0"/>
      </c:catAx>
      <c:valAx>
        <c:axId val="1511829647"/>
        <c:scaling>
          <c:orientation val="minMax"/>
        </c:scaling>
        <c:delete val="1"/>
        <c:axPos val="b"/>
        <c:numFmt formatCode="0.00" sourceLinked="1"/>
        <c:majorTickMark val="none"/>
        <c:minorTickMark val="none"/>
        <c:tickLblPos val="nextTo"/>
        <c:crossAx val="1512088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4</xdr:col>
      <xdr:colOff>228468</xdr:colOff>
      <xdr:row>1</xdr:row>
      <xdr:rowOff>67774</xdr:rowOff>
    </xdr:from>
    <xdr:ext cx="7096302" cy="525850"/>
    <xdr:sp macro="" textlink="">
      <xdr:nvSpPr>
        <xdr:cNvPr id="2" name="TextBox 1">
          <a:extLst>
            <a:ext uri="{FF2B5EF4-FFF2-40B4-BE49-F238E27FC236}">
              <a16:creationId xmlns:a16="http://schemas.microsoft.com/office/drawing/2014/main" id="{29617E17-22DD-9CA0-89DE-7A681EF30E4B}"/>
            </a:ext>
          </a:extLst>
        </xdr:cNvPr>
        <xdr:cNvSpPr txBox="1"/>
      </xdr:nvSpPr>
      <xdr:spPr>
        <a:xfrm>
          <a:off x="2690314" y="67774"/>
          <a:ext cx="7096302" cy="525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IN" sz="2200" b="1">
              <a:solidFill>
                <a:schemeClr val="bg1"/>
              </a:solidFill>
              <a:latin typeface="Lucida Sans Unicode" panose="020B0602030504020204" pitchFamily="34" charset="0"/>
              <a:cs typeface="Lucida Sans Unicode" panose="020B0602030504020204" pitchFamily="34" charset="0"/>
            </a:rPr>
            <a:t>HR ANALYTICS EMPLOYEE </a:t>
          </a:r>
          <a:r>
            <a:rPr lang="en-IN" sz="2200" b="1">
              <a:solidFill>
                <a:schemeClr val="bg1"/>
              </a:solidFill>
              <a:latin typeface="Lucida Sans Unicode" panose="020B0602030504020204" pitchFamily="34" charset="0"/>
              <a:ea typeface="Calibri" panose="020F0502020204030204" pitchFamily="34" charset="0"/>
              <a:cs typeface="Lucida Sans Unicode" panose="020B0602030504020204" pitchFamily="34" charset="0"/>
            </a:rPr>
            <a:t>ATTRITION</a:t>
          </a:r>
          <a:r>
            <a:rPr lang="en-IN" sz="2200" b="1">
              <a:solidFill>
                <a:schemeClr val="bg1"/>
              </a:solidFill>
              <a:latin typeface="Lucida Sans Unicode" panose="020B0602030504020204" pitchFamily="34" charset="0"/>
              <a:cs typeface="Lucida Sans Unicode" panose="020B0602030504020204" pitchFamily="34" charset="0"/>
            </a:rPr>
            <a:t> DASHBOARD</a:t>
          </a:r>
        </a:p>
      </xdr:txBody>
    </xdr:sp>
    <xdr:clientData/>
  </xdr:oneCellAnchor>
  <xdr:twoCellAnchor>
    <xdr:from>
      <xdr:col>0</xdr:col>
      <xdr:colOff>416719</xdr:colOff>
      <xdr:row>4</xdr:row>
      <xdr:rowOff>30957</xdr:rowOff>
    </xdr:from>
    <xdr:to>
      <xdr:col>16</xdr:col>
      <xdr:colOff>92872</xdr:colOff>
      <xdr:row>8</xdr:row>
      <xdr:rowOff>16669</xdr:rowOff>
    </xdr:to>
    <xdr:grpSp>
      <xdr:nvGrpSpPr>
        <xdr:cNvPr id="12" name="Group 11">
          <a:extLst>
            <a:ext uri="{FF2B5EF4-FFF2-40B4-BE49-F238E27FC236}">
              <a16:creationId xmlns:a16="http://schemas.microsoft.com/office/drawing/2014/main" id="{C094C07C-680C-9A4A-FC86-C4F6161456C8}"/>
            </a:ext>
          </a:extLst>
        </xdr:cNvPr>
        <xdr:cNvGrpSpPr/>
      </xdr:nvGrpSpPr>
      <xdr:grpSpPr>
        <a:xfrm>
          <a:off x="416719" y="602457"/>
          <a:ext cx="9523538" cy="747712"/>
          <a:chOff x="440531" y="721519"/>
          <a:chExt cx="9391653" cy="747712"/>
        </a:xfrm>
      </xdr:grpSpPr>
      <xdr:sp macro="" textlink="">
        <xdr:nvSpPr>
          <xdr:cNvPr id="3" name="Rectangle: Rounded Corners 2">
            <a:extLst>
              <a:ext uri="{FF2B5EF4-FFF2-40B4-BE49-F238E27FC236}">
                <a16:creationId xmlns:a16="http://schemas.microsoft.com/office/drawing/2014/main" id="{10A13700-026C-43B1-0E66-E48597EA1176}"/>
              </a:ext>
            </a:extLst>
          </xdr:cNvPr>
          <xdr:cNvSpPr/>
        </xdr:nvSpPr>
        <xdr:spPr>
          <a:xfrm>
            <a:off x="440531" y="726281"/>
            <a:ext cx="1809750" cy="738188"/>
          </a:xfrm>
          <a:prstGeom prst="roundRect">
            <a:avLst/>
          </a:prstGeom>
          <a:ln>
            <a:solidFill>
              <a:schemeClr val="accent1"/>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IN" sz="1100"/>
          </a:p>
        </xdr:txBody>
      </xdr:sp>
      <xdr:sp macro="" textlink="">
        <xdr:nvSpPr>
          <xdr:cNvPr id="8" name="Rectangle: Rounded Corners 7">
            <a:extLst>
              <a:ext uri="{FF2B5EF4-FFF2-40B4-BE49-F238E27FC236}">
                <a16:creationId xmlns:a16="http://schemas.microsoft.com/office/drawing/2014/main" id="{C07295F6-5AA4-4220-9DB9-75A995942709}"/>
              </a:ext>
            </a:extLst>
          </xdr:cNvPr>
          <xdr:cNvSpPr/>
        </xdr:nvSpPr>
        <xdr:spPr>
          <a:xfrm>
            <a:off x="8022434" y="723900"/>
            <a:ext cx="1809750" cy="738188"/>
          </a:xfrm>
          <a:prstGeom prst="roundRect">
            <a:avLst/>
          </a:prstGeom>
          <a:ln>
            <a:solidFill>
              <a:schemeClr val="accent1"/>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IN" sz="1100"/>
          </a:p>
        </xdr:txBody>
      </xdr:sp>
      <xdr:sp macro="" textlink="">
        <xdr:nvSpPr>
          <xdr:cNvPr id="9" name="Rectangle: Rounded Corners 8">
            <a:extLst>
              <a:ext uri="{FF2B5EF4-FFF2-40B4-BE49-F238E27FC236}">
                <a16:creationId xmlns:a16="http://schemas.microsoft.com/office/drawing/2014/main" id="{30412050-DFE5-440B-A055-42B239962EA8}"/>
              </a:ext>
            </a:extLst>
          </xdr:cNvPr>
          <xdr:cNvSpPr/>
        </xdr:nvSpPr>
        <xdr:spPr>
          <a:xfrm>
            <a:off x="2328856" y="721519"/>
            <a:ext cx="1809750" cy="738188"/>
          </a:xfrm>
          <a:prstGeom prst="roundRect">
            <a:avLst/>
          </a:prstGeom>
          <a:ln>
            <a:solidFill>
              <a:schemeClr val="accent1"/>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IN" sz="1100"/>
          </a:p>
        </xdr:txBody>
      </xdr:sp>
      <xdr:sp macro="" textlink="">
        <xdr:nvSpPr>
          <xdr:cNvPr id="10" name="Rectangle: Rounded Corners 9">
            <a:extLst>
              <a:ext uri="{FF2B5EF4-FFF2-40B4-BE49-F238E27FC236}">
                <a16:creationId xmlns:a16="http://schemas.microsoft.com/office/drawing/2014/main" id="{11403F4C-3BD0-4ACB-B217-71DBF358361D}"/>
              </a:ext>
            </a:extLst>
          </xdr:cNvPr>
          <xdr:cNvSpPr/>
        </xdr:nvSpPr>
        <xdr:spPr>
          <a:xfrm>
            <a:off x="6124575" y="731043"/>
            <a:ext cx="1809750" cy="738188"/>
          </a:xfrm>
          <a:prstGeom prst="roundRect">
            <a:avLst/>
          </a:prstGeom>
          <a:ln>
            <a:solidFill>
              <a:schemeClr val="accent1"/>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IN" sz="1100"/>
          </a:p>
        </xdr:txBody>
      </xdr:sp>
      <xdr:sp macro="" textlink="">
        <xdr:nvSpPr>
          <xdr:cNvPr id="11" name="Rectangle: Rounded Corners 10">
            <a:extLst>
              <a:ext uri="{FF2B5EF4-FFF2-40B4-BE49-F238E27FC236}">
                <a16:creationId xmlns:a16="http://schemas.microsoft.com/office/drawing/2014/main" id="{05BAAC4C-1E6C-4D8B-AB04-49D4CE8FB9FF}"/>
              </a:ext>
            </a:extLst>
          </xdr:cNvPr>
          <xdr:cNvSpPr/>
        </xdr:nvSpPr>
        <xdr:spPr>
          <a:xfrm>
            <a:off x="4229093" y="728663"/>
            <a:ext cx="1809750" cy="738188"/>
          </a:xfrm>
          <a:prstGeom prst="roundRect">
            <a:avLst/>
          </a:prstGeom>
          <a:ln>
            <a:solidFill>
              <a:schemeClr val="accent1"/>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IN" sz="1100"/>
          </a:p>
        </xdr:txBody>
      </xdr:sp>
    </xdr:grpSp>
    <xdr:clientData/>
  </xdr:twoCellAnchor>
  <xdr:oneCellAnchor>
    <xdr:from>
      <xdr:col>0</xdr:col>
      <xdr:colOff>571500</xdr:colOff>
      <xdr:row>4</xdr:row>
      <xdr:rowOff>23813</xdr:rowOff>
    </xdr:from>
    <xdr:ext cx="1500924" cy="307841"/>
    <xdr:sp macro="" textlink="">
      <xdr:nvSpPr>
        <xdr:cNvPr id="13" name="TextBox 12">
          <a:extLst>
            <a:ext uri="{FF2B5EF4-FFF2-40B4-BE49-F238E27FC236}">
              <a16:creationId xmlns:a16="http://schemas.microsoft.com/office/drawing/2014/main" id="{ACF13AF7-1D1B-4622-37B0-53EEB5EEC50C}"/>
            </a:ext>
          </a:extLst>
        </xdr:cNvPr>
        <xdr:cNvSpPr txBox="1"/>
      </xdr:nvSpPr>
      <xdr:spPr>
        <a:xfrm>
          <a:off x="571500" y="595313"/>
          <a:ext cx="1500924" cy="3078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400" b="1">
              <a:solidFill>
                <a:schemeClr val="accent2">
                  <a:lumMod val="75000"/>
                </a:schemeClr>
              </a:solidFill>
              <a:latin typeface="Bahnschrift SemiBold" panose="020B0502040204020203" pitchFamily="34" charset="0"/>
            </a:rPr>
            <a:t>Total Employess</a:t>
          </a:r>
        </a:p>
      </xdr:txBody>
    </xdr:sp>
    <xdr:clientData/>
  </xdr:oneCellAnchor>
  <xdr:oneCellAnchor>
    <xdr:from>
      <xdr:col>4</xdr:col>
      <xdr:colOff>154781</xdr:colOff>
      <xdr:row>4</xdr:row>
      <xdr:rowOff>35719</xdr:rowOff>
    </xdr:from>
    <xdr:ext cx="1335237" cy="307841"/>
    <xdr:sp macro="" textlink="">
      <xdr:nvSpPr>
        <xdr:cNvPr id="14" name="TextBox 13">
          <a:extLst>
            <a:ext uri="{FF2B5EF4-FFF2-40B4-BE49-F238E27FC236}">
              <a16:creationId xmlns:a16="http://schemas.microsoft.com/office/drawing/2014/main" id="{906482BE-F1DB-477E-83EA-6D5F372ABD27}"/>
            </a:ext>
          </a:extLst>
        </xdr:cNvPr>
        <xdr:cNvSpPr txBox="1"/>
      </xdr:nvSpPr>
      <xdr:spPr>
        <a:xfrm>
          <a:off x="2583656" y="607219"/>
          <a:ext cx="1335237" cy="3078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400" b="1">
              <a:solidFill>
                <a:schemeClr val="accent3">
                  <a:lumMod val="75000"/>
                </a:schemeClr>
              </a:solidFill>
              <a:latin typeface="Bahnschrift SemiBold" panose="020B0502040204020203" pitchFamily="34" charset="0"/>
            </a:rPr>
            <a:t>Employee Left</a:t>
          </a:r>
        </a:p>
      </xdr:txBody>
    </xdr:sp>
    <xdr:clientData/>
  </xdr:oneCellAnchor>
  <xdr:oneCellAnchor>
    <xdr:from>
      <xdr:col>7</xdr:col>
      <xdr:colOff>226218</xdr:colOff>
      <xdr:row>4</xdr:row>
      <xdr:rowOff>35719</xdr:rowOff>
    </xdr:from>
    <xdr:ext cx="1257075" cy="307841"/>
    <xdr:sp macro="" textlink="">
      <xdr:nvSpPr>
        <xdr:cNvPr id="15" name="TextBox 14">
          <a:extLst>
            <a:ext uri="{FF2B5EF4-FFF2-40B4-BE49-F238E27FC236}">
              <a16:creationId xmlns:a16="http://schemas.microsoft.com/office/drawing/2014/main" id="{E88675D5-9011-48E8-89DB-D76D4DCF684B}"/>
            </a:ext>
          </a:extLst>
        </xdr:cNvPr>
        <xdr:cNvSpPr txBox="1"/>
      </xdr:nvSpPr>
      <xdr:spPr>
        <a:xfrm>
          <a:off x="4476749" y="607219"/>
          <a:ext cx="1257075" cy="3078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400" b="1">
              <a:solidFill>
                <a:schemeClr val="accent4">
                  <a:lumMod val="75000"/>
                </a:schemeClr>
              </a:solidFill>
              <a:latin typeface="Bahnschrift SemiBold" panose="020B0502040204020203" pitchFamily="34" charset="0"/>
            </a:rPr>
            <a:t>Attrition Rate</a:t>
          </a:r>
        </a:p>
      </xdr:txBody>
    </xdr:sp>
    <xdr:clientData/>
  </xdr:oneCellAnchor>
  <xdr:oneCellAnchor>
    <xdr:from>
      <xdr:col>10</xdr:col>
      <xdr:colOff>47624</xdr:colOff>
      <xdr:row>4</xdr:row>
      <xdr:rowOff>35718</xdr:rowOff>
    </xdr:from>
    <xdr:ext cx="1806457" cy="307841"/>
    <xdr:sp macro="" textlink="">
      <xdr:nvSpPr>
        <xdr:cNvPr id="16" name="TextBox 15">
          <a:extLst>
            <a:ext uri="{FF2B5EF4-FFF2-40B4-BE49-F238E27FC236}">
              <a16:creationId xmlns:a16="http://schemas.microsoft.com/office/drawing/2014/main" id="{50E94309-F58E-B143-CD17-9802E03D40B7}"/>
            </a:ext>
          </a:extLst>
        </xdr:cNvPr>
        <xdr:cNvSpPr txBox="1"/>
      </xdr:nvSpPr>
      <xdr:spPr>
        <a:xfrm>
          <a:off x="6119812" y="607218"/>
          <a:ext cx="1806457" cy="3078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400" b="1">
              <a:solidFill>
                <a:schemeClr val="accent5">
                  <a:lumMod val="75000"/>
                </a:schemeClr>
              </a:solidFill>
              <a:latin typeface="Bahnschrift SemiBold" panose="020B0502040204020203" pitchFamily="34" charset="0"/>
            </a:rPr>
            <a:t>Avg Monthly Income</a:t>
          </a:r>
        </a:p>
      </xdr:txBody>
    </xdr:sp>
    <xdr:clientData/>
  </xdr:oneCellAnchor>
  <xdr:oneCellAnchor>
    <xdr:from>
      <xdr:col>13</xdr:col>
      <xdr:colOff>392906</xdr:colOff>
      <xdr:row>4</xdr:row>
      <xdr:rowOff>47625</xdr:rowOff>
    </xdr:from>
    <xdr:ext cx="1209627" cy="307841"/>
    <xdr:sp macro="" textlink="">
      <xdr:nvSpPr>
        <xdr:cNvPr id="17" name="TextBox 16">
          <a:extLst>
            <a:ext uri="{FF2B5EF4-FFF2-40B4-BE49-F238E27FC236}">
              <a16:creationId xmlns:a16="http://schemas.microsoft.com/office/drawing/2014/main" id="{2A39883F-B3D4-C306-869B-F41AFAFAF1A3}"/>
            </a:ext>
          </a:extLst>
        </xdr:cNvPr>
        <xdr:cNvSpPr txBox="1"/>
      </xdr:nvSpPr>
      <xdr:spPr>
        <a:xfrm>
          <a:off x="8286750" y="619125"/>
          <a:ext cx="1209627" cy="3078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400">
              <a:solidFill>
                <a:srgbClr val="FFC000"/>
              </a:solidFill>
              <a:latin typeface="Bahnschrift SemiBold" panose="020B0502040204020203" pitchFamily="34" charset="0"/>
            </a:rPr>
            <a:t>Average Age</a:t>
          </a:r>
        </a:p>
      </xdr:txBody>
    </xdr:sp>
    <xdr:clientData/>
  </xdr:oneCellAnchor>
  <xdr:oneCellAnchor>
    <xdr:from>
      <xdr:col>1</xdr:col>
      <xdr:colOff>261937</xdr:colOff>
      <xdr:row>5</xdr:row>
      <xdr:rowOff>83343</xdr:rowOff>
    </xdr:from>
    <xdr:ext cx="912558" cy="530658"/>
    <xdr:sp macro="" textlink="">
      <xdr:nvSpPr>
        <xdr:cNvPr id="19" name="TextBox 18">
          <a:extLst>
            <a:ext uri="{FF2B5EF4-FFF2-40B4-BE49-F238E27FC236}">
              <a16:creationId xmlns:a16="http://schemas.microsoft.com/office/drawing/2014/main" id="{9A15692B-C48B-DCDA-8D0A-8623A04E43BE}"/>
            </a:ext>
          </a:extLst>
        </xdr:cNvPr>
        <xdr:cNvSpPr txBox="1"/>
      </xdr:nvSpPr>
      <xdr:spPr>
        <a:xfrm>
          <a:off x="869156" y="845343"/>
          <a:ext cx="912558"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800" b="1">
              <a:solidFill>
                <a:schemeClr val="tx2"/>
              </a:solidFill>
              <a:latin typeface="Bahnschrift SemiBold" panose="020B0502040204020203" pitchFamily="34" charset="0"/>
            </a:rPr>
            <a:t>1470</a:t>
          </a:r>
        </a:p>
      </xdr:txBody>
    </xdr:sp>
    <xdr:clientData/>
  </xdr:oneCellAnchor>
  <xdr:oneCellAnchor>
    <xdr:from>
      <xdr:col>4</xdr:col>
      <xdr:colOff>450056</xdr:colOff>
      <xdr:row>5</xdr:row>
      <xdr:rowOff>92868</xdr:rowOff>
    </xdr:from>
    <xdr:ext cx="740780" cy="523285"/>
    <xdr:sp macro="" textlink="">
      <xdr:nvSpPr>
        <xdr:cNvPr id="20" name="TextBox 19">
          <a:extLst>
            <a:ext uri="{FF2B5EF4-FFF2-40B4-BE49-F238E27FC236}">
              <a16:creationId xmlns:a16="http://schemas.microsoft.com/office/drawing/2014/main" id="{8B53B88B-B12B-4A70-BA26-D13F8B743A21}"/>
            </a:ext>
          </a:extLst>
        </xdr:cNvPr>
        <xdr:cNvSpPr txBox="1"/>
      </xdr:nvSpPr>
      <xdr:spPr>
        <a:xfrm>
          <a:off x="2878931" y="854868"/>
          <a:ext cx="740780" cy="5232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800" b="1">
              <a:solidFill>
                <a:schemeClr val="tx2"/>
              </a:solidFill>
              <a:latin typeface="Bahnschrift SemiBold" panose="020B0502040204020203" pitchFamily="34" charset="0"/>
            </a:rPr>
            <a:t>237</a:t>
          </a:r>
        </a:p>
      </xdr:txBody>
    </xdr:sp>
    <xdr:clientData/>
  </xdr:oneCellAnchor>
  <xdr:oneCellAnchor>
    <xdr:from>
      <xdr:col>7</xdr:col>
      <xdr:colOff>340519</xdr:colOff>
      <xdr:row>5</xdr:row>
      <xdr:rowOff>90487</xdr:rowOff>
    </xdr:from>
    <xdr:ext cx="1121269" cy="523285"/>
    <xdr:sp macro="" textlink="">
      <xdr:nvSpPr>
        <xdr:cNvPr id="21" name="TextBox 20">
          <a:extLst>
            <a:ext uri="{FF2B5EF4-FFF2-40B4-BE49-F238E27FC236}">
              <a16:creationId xmlns:a16="http://schemas.microsoft.com/office/drawing/2014/main" id="{D749851E-7BEE-48DE-B087-29600C0F0855}"/>
            </a:ext>
          </a:extLst>
        </xdr:cNvPr>
        <xdr:cNvSpPr txBox="1"/>
      </xdr:nvSpPr>
      <xdr:spPr>
        <a:xfrm>
          <a:off x="4591050" y="852487"/>
          <a:ext cx="1121269" cy="5232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800" b="1">
              <a:solidFill>
                <a:schemeClr val="tx2"/>
              </a:solidFill>
              <a:latin typeface="Bahnschrift SemiBold" panose="020B0502040204020203" pitchFamily="34" charset="0"/>
            </a:rPr>
            <a:t>16.12</a:t>
          </a:r>
          <a:r>
            <a:rPr lang="en-IN" sz="2800">
              <a:solidFill>
                <a:schemeClr val="tx2"/>
              </a:solidFill>
              <a:latin typeface="Bahnschrift SemiBold" panose="020B0502040204020203" pitchFamily="34" charset="0"/>
            </a:rPr>
            <a:t>%</a:t>
          </a:r>
        </a:p>
      </xdr:txBody>
    </xdr:sp>
    <xdr:clientData/>
  </xdr:oneCellAnchor>
  <xdr:oneCellAnchor>
    <xdr:from>
      <xdr:col>10</xdr:col>
      <xdr:colOff>373856</xdr:colOff>
      <xdr:row>5</xdr:row>
      <xdr:rowOff>64293</xdr:rowOff>
    </xdr:from>
    <xdr:ext cx="1190262" cy="550472"/>
    <xdr:sp macro="" textlink="">
      <xdr:nvSpPr>
        <xdr:cNvPr id="22" name="TextBox 21">
          <a:extLst>
            <a:ext uri="{FF2B5EF4-FFF2-40B4-BE49-F238E27FC236}">
              <a16:creationId xmlns:a16="http://schemas.microsoft.com/office/drawing/2014/main" id="{67A2078A-A578-4DC3-9D91-6048C80C153A}"/>
            </a:ext>
          </a:extLst>
        </xdr:cNvPr>
        <xdr:cNvSpPr txBox="1"/>
      </xdr:nvSpPr>
      <xdr:spPr>
        <a:xfrm>
          <a:off x="6446044" y="826293"/>
          <a:ext cx="1190262" cy="5504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800" b="1">
              <a:solidFill>
                <a:schemeClr val="tx2"/>
              </a:solidFill>
            </a:rPr>
            <a:t>₹6,503</a:t>
          </a:r>
          <a:endParaRPr lang="en-IN" sz="2800" b="1">
            <a:solidFill>
              <a:schemeClr val="tx2"/>
            </a:solidFill>
            <a:latin typeface="Bahnschrift SemiBold" panose="020B0502040204020203" pitchFamily="34" charset="0"/>
          </a:endParaRPr>
        </a:p>
      </xdr:txBody>
    </xdr:sp>
    <xdr:clientData/>
  </xdr:oneCellAnchor>
  <xdr:oneCellAnchor>
    <xdr:from>
      <xdr:col>13</xdr:col>
      <xdr:colOff>371475</xdr:colOff>
      <xdr:row>5</xdr:row>
      <xdr:rowOff>73818</xdr:rowOff>
    </xdr:from>
    <xdr:ext cx="1448986" cy="550472"/>
    <xdr:sp macro="" textlink="">
      <xdr:nvSpPr>
        <xdr:cNvPr id="23" name="TextBox 22">
          <a:extLst>
            <a:ext uri="{FF2B5EF4-FFF2-40B4-BE49-F238E27FC236}">
              <a16:creationId xmlns:a16="http://schemas.microsoft.com/office/drawing/2014/main" id="{2BFB4B58-070E-4856-B220-01C8D548213F}"/>
            </a:ext>
          </a:extLst>
        </xdr:cNvPr>
        <xdr:cNvSpPr txBox="1"/>
      </xdr:nvSpPr>
      <xdr:spPr>
        <a:xfrm>
          <a:off x="8372475" y="835818"/>
          <a:ext cx="1448986" cy="5504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800" b="1">
              <a:solidFill>
                <a:schemeClr val="tx2"/>
              </a:solidFill>
            </a:rPr>
            <a:t>37 Years</a:t>
          </a:r>
          <a:endParaRPr lang="en-IN" sz="2800" b="1">
            <a:solidFill>
              <a:schemeClr val="tx2"/>
            </a:solidFill>
            <a:latin typeface="Bahnschrift SemiBold" panose="020B0502040204020203" pitchFamily="34" charset="0"/>
          </a:endParaRPr>
        </a:p>
      </xdr:txBody>
    </xdr:sp>
    <xdr:clientData/>
  </xdr:oneCellAnchor>
  <xdr:twoCellAnchor>
    <xdr:from>
      <xdr:col>0</xdr:col>
      <xdr:colOff>108858</xdr:colOff>
      <xdr:row>9</xdr:row>
      <xdr:rowOff>0</xdr:rowOff>
    </xdr:from>
    <xdr:to>
      <xdr:col>6</xdr:col>
      <xdr:colOff>287451</xdr:colOff>
      <xdr:row>20</xdr:row>
      <xdr:rowOff>107156</xdr:rowOff>
    </xdr:to>
    <xdr:graphicFrame macro="">
      <xdr:nvGraphicFramePr>
        <xdr:cNvPr id="28" name="Chart 27">
          <a:extLst>
            <a:ext uri="{FF2B5EF4-FFF2-40B4-BE49-F238E27FC236}">
              <a16:creationId xmlns:a16="http://schemas.microsoft.com/office/drawing/2014/main" id="{E4CDEEDC-63E4-4409-9FDF-80F6A345AE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122462</xdr:colOff>
      <xdr:row>8</xdr:row>
      <xdr:rowOff>154781</xdr:rowOff>
    </xdr:from>
    <xdr:to>
      <xdr:col>10</xdr:col>
      <xdr:colOff>384403</xdr:colOff>
      <xdr:row>20</xdr:row>
      <xdr:rowOff>95250</xdr:rowOff>
    </xdr:to>
    <xdr:graphicFrame macro="">
      <xdr:nvGraphicFramePr>
        <xdr:cNvPr id="29" name="Chart 28">
          <a:extLst>
            <a:ext uri="{FF2B5EF4-FFF2-40B4-BE49-F238E27FC236}">
              <a16:creationId xmlns:a16="http://schemas.microsoft.com/office/drawing/2014/main" id="{2C2D0828-0977-4C64-BB96-30EA3E20A1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244930</xdr:colOff>
      <xdr:row>20</xdr:row>
      <xdr:rowOff>40821</xdr:rowOff>
    </xdr:from>
    <xdr:to>
      <xdr:col>17</xdr:col>
      <xdr:colOff>81643</xdr:colOff>
      <xdr:row>33</xdr:row>
      <xdr:rowOff>27214</xdr:rowOff>
    </xdr:to>
    <xdr:graphicFrame macro="">
      <xdr:nvGraphicFramePr>
        <xdr:cNvPr id="32" name="Chart 31">
          <a:extLst>
            <a:ext uri="{FF2B5EF4-FFF2-40B4-BE49-F238E27FC236}">
              <a16:creationId xmlns:a16="http://schemas.microsoft.com/office/drawing/2014/main" id="{6EA3F5CD-B440-4DB9-990E-ED51AB82C5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176893</xdr:colOff>
      <xdr:row>20</xdr:row>
      <xdr:rowOff>13608</xdr:rowOff>
    </xdr:from>
    <xdr:to>
      <xdr:col>6</xdr:col>
      <xdr:colOff>136071</xdr:colOff>
      <xdr:row>32</xdr:row>
      <xdr:rowOff>117022</xdr:rowOff>
    </xdr:to>
    <xdr:graphicFrame macro="">
      <xdr:nvGraphicFramePr>
        <xdr:cNvPr id="34" name="Chart 33">
          <a:extLst>
            <a:ext uri="{FF2B5EF4-FFF2-40B4-BE49-F238E27FC236}">
              <a16:creationId xmlns:a16="http://schemas.microsoft.com/office/drawing/2014/main" id="{52509637-1A83-4352-B89C-571190A86E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27215</xdr:colOff>
      <xdr:row>20</xdr:row>
      <xdr:rowOff>95250</xdr:rowOff>
    </xdr:from>
    <xdr:to>
      <xdr:col>12</xdr:col>
      <xdr:colOff>367395</xdr:colOff>
      <xdr:row>33</xdr:row>
      <xdr:rowOff>21771</xdr:rowOff>
    </xdr:to>
    <xdr:graphicFrame macro="">
      <xdr:nvGraphicFramePr>
        <xdr:cNvPr id="35" name="Chart 34">
          <a:extLst>
            <a:ext uri="{FF2B5EF4-FFF2-40B4-BE49-F238E27FC236}">
              <a16:creationId xmlns:a16="http://schemas.microsoft.com/office/drawing/2014/main" id="{83316593-A5F7-4007-ACEA-00F6C77EFB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503463</xdr:colOff>
      <xdr:row>7</xdr:row>
      <xdr:rowOff>190499</xdr:rowOff>
    </xdr:from>
    <xdr:to>
      <xdr:col>17</xdr:col>
      <xdr:colOff>40820</xdr:colOff>
      <xdr:row>20</xdr:row>
      <xdr:rowOff>185056</xdr:rowOff>
    </xdr:to>
    <xdr:graphicFrame macro="">
      <xdr:nvGraphicFramePr>
        <xdr:cNvPr id="36" name="Chart 35">
          <a:extLst>
            <a:ext uri="{FF2B5EF4-FFF2-40B4-BE49-F238E27FC236}">
              <a16:creationId xmlns:a16="http://schemas.microsoft.com/office/drawing/2014/main" id="{58C631F9-E8E7-4690-A17A-45066B4726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102577</xdr:colOff>
      <xdr:row>4</xdr:row>
      <xdr:rowOff>87922</xdr:rowOff>
    </xdr:from>
    <xdr:to>
      <xdr:col>19</xdr:col>
      <xdr:colOff>495300</xdr:colOff>
      <xdr:row>10</xdr:row>
      <xdr:rowOff>190499</xdr:rowOff>
    </xdr:to>
    <mc:AlternateContent xmlns:mc="http://schemas.openxmlformats.org/markup-compatibility/2006">
      <mc:Choice xmlns:a14="http://schemas.microsoft.com/office/drawing/2010/main" Requires="a14">
        <xdr:graphicFrame macro="">
          <xdr:nvGraphicFramePr>
            <xdr:cNvPr id="37" name="Department">
              <a:extLst>
                <a:ext uri="{FF2B5EF4-FFF2-40B4-BE49-F238E27FC236}">
                  <a16:creationId xmlns:a16="http://schemas.microsoft.com/office/drawing/2014/main" id="{FF195B87-F22C-4ADB-A44F-CDA3C6146957}"/>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0565423" y="659422"/>
              <a:ext cx="1623646" cy="12455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58616</xdr:colOff>
      <xdr:row>23</xdr:row>
      <xdr:rowOff>62278</xdr:rowOff>
    </xdr:from>
    <xdr:to>
      <xdr:col>19</xdr:col>
      <xdr:colOff>495301</xdr:colOff>
      <xdr:row>32</xdr:row>
      <xdr:rowOff>190499</xdr:rowOff>
    </xdr:to>
    <mc:AlternateContent xmlns:mc="http://schemas.openxmlformats.org/markup-compatibility/2006">
      <mc:Choice xmlns:a14="http://schemas.microsoft.com/office/drawing/2010/main" Requires="a14">
        <xdr:graphicFrame macro="">
          <xdr:nvGraphicFramePr>
            <xdr:cNvPr id="38" name="Education">
              <a:extLst>
                <a:ext uri="{FF2B5EF4-FFF2-40B4-BE49-F238E27FC236}">
                  <a16:creationId xmlns:a16="http://schemas.microsoft.com/office/drawing/2014/main" id="{38F68FB1-C3A2-42C3-A7B0-2159EFA8AA72}"/>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10521462" y="4253278"/>
              <a:ext cx="1667608" cy="18427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102577</xdr:colOff>
      <xdr:row>11</xdr:row>
      <xdr:rowOff>38831</xdr:rowOff>
    </xdr:from>
    <xdr:to>
      <xdr:col>19</xdr:col>
      <xdr:colOff>494568</xdr:colOff>
      <xdr:row>17</xdr:row>
      <xdr:rowOff>146538</xdr:rowOff>
    </xdr:to>
    <mc:AlternateContent xmlns:mc="http://schemas.openxmlformats.org/markup-compatibility/2006">
      <mc:Choice xmlns:a14="http://schemas.microsoft.com/office/drawing/2010/main" Requires="a14">
        <xdr:graphicFrame macro="">
          <xdr:nvGraphicFramePr>
            <xdr:cNvPr id="40" name="MaritalStatus">
              <a:extLst>
                <a:ext uri="{FF2B5EF4-FFF2-40B4-BE49-F238E27FC236}">
                  <a16:creationId xmlns:a16="http://schemas.microsoft.com/office/drawing/2014/main" id="{7EF2F3D7-A250-45EB-BB2E-A8D6C246185F}"/>
                </a:ext>
              </a:extLst>
            </xdr:cNvPr>
            <xdr:cNvGraphicFramePr/>
          </xdr:nvGraphicFramePr>
          <xdr:xfrm>
            <a:off x="0" y="0"/>
            <a:ext cx="0" cy="0"/>
          </xdr:xfrm>
          <a:graphic>
            <a:graphicData uri="http://schemas.microsoft.com/office/drawing/2010/slicer">
              <sle:slicer xmlns:sle="http://schemas.microsoft.com/office/drawing/2010/slicer" name="MaritalStatus"/>
            </a:graphicData>
          </a:graphic>
        </xdr:graphicFrame>
      </mc:Choice>
      <mc:Fallback>
        <xdr:sp macro="" textlink="">
          <xdr:nvSpPr>
            <xdr:cNvPr id="0" name=""/>
            <xdr:cNvSpPr>
              <a:spLocks noTextEdit="1"/>
            </xdr:cNvSpPr>
          </xdr:nvSpPr>
          <xdr:spPr>
            <a:xfrm>
              <a:off x="10565423" y="1943831"/>
              <a:ext cx="1622914" cy="12507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87922</xdr:colOff>
      <xdr:row>17</xdr:row>
      <xdr:rowOff>183172</xdr:rowOff>
    </xdr:from>
    <xdr:to>
      <xdr:col>19</xdr:col>
      <xdr:colOff>505558</xdr:colOff>
      <xdr:row>23</xdr:row>
      <xdr:rowOff>29306</xdr:rowOff>
    </xdr:to>
    <mc:AlternateContent xmlns:mc="http://schemas.openxmlformats.org/markup-compatibility/2006">
      <mc:Choice xmlns:a14="http://schemas.microsoft.com/office/drawing/2010/main" Requires="a14">
        <xdr:graphicFrame macro="">
          <xdr:nvGraphicFramePr>
            <xdr:cNvPr id="41" name="OverTime">
              <a:extLst>
                <a:ext uri="{FF2B5EF4-FFF2-40B4-BE49-F238E27FC236}">
                  <a16:creationId xmlns:a16="http://schemas.microsoft.com/office/drawing/2014/main" id="{452ABC36-85FB-45F5-A631-4BF5A6F3447D}"/>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dr:sp macro="" textlink="">
          <xdr:nvSpPr>
            <xdr:cNvPr id="0" name=""/>
            <xdr:cNvSpPr>
              <a:spLocks noTextEdit="1"/>
            </xdr:cNvSpPr>
          </xdr:nvSpPr>
          <xdr:spPr>
            <a:xfrm>
              <a:off x="10550768" y="3231172"/>
              <a:ext cx="1648559" cy="9891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ishu Tamori" refreshedDate="46234.549602430554" createdVersion="8" refreshedVersion="8" minRefreshableVersion="3" recordCount="1470" xr:uid="{A40143A0-26AA-47A2-9767-2554EFDAAE63}">
  <cacheSource type="worksheet">
    <worksheetSource name="tblHRAnalytics"/>
  </cacheSource>
  <cacheFields count="35">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cacheField>
    <cacheField name="Education" numFmtId="0">
      <sharedItems containsSemiMixedTypes="0" containsString="0" containsNumber="1" containsInteger="1" minValue="1" maxValue="5" count="5">
        <n v="2"/>
        <n v="1"/>
        <n v="4"/>
        <n v="3"/>
        <n v="5"/>
      </sharedItems>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ount="4">
        <n v="0"/>
        <n v="1"/>
        <n v="3"/>
        <n v="2"/>
      </sharedItems>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ount="7">
        <n v="0"/>
        <n v="3"/>
        <n v="2"/>
        <n v="5"/>
        <n v="1"/>
        <n v="4"/>
        <n v="6"/>
      </sharedItems>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ount="16">
        <n v="0"/>
        <n v="1"/>
        <n v="3"/>
        <n v="2"/>
        <n v="7"/>
        <n v="4"/>
        <n v="8"/>
        <n v="6"/>
        <n v="5"/>
        <n v="15"/>
        <n v="9"/>
        <n v="13"/>
        <n v="12"/>
        <n v="10"/>
        <n v="11"/>
        <n v="14"/>
      </sharedItems>
    </cacheField>
    <cacheField name="YearsWithCurr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4198795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x v="0"/>
    <n v="1102"/>
    <x v="0"/>
    <x v="0"/>
    <x v="0"/>
    <s v="Life Sciences"/>
    <n v="1"/>
    <n v="1"/>
    <n v="2"/>
    <x v="0"/>
    <n v="94"/>
    <x v="0"/>
    <n v="2"/>
    <x v="0"/>
    <n v="4"/>
    <x v="0"/>
    <n v="5993"/>
    <n v="19479"/>
    <n v="8"/>
    <s v="Y"/>
    <x v="0"/>
    <n v="11"/>
    <x v="0"/>
    <n v="1"/>
    <n v="80"/>
    <x v="0"/>
    <n v="8"/>
    <x v="0"/>
    <x v="0"/>
    <n v="6"/>
    <n v="4"/>
    <x v="0"/>
    <n v="5"/>
  </r>
  <r>
    <n v="49"/>
    <x v="1"/>
    <x v="1"/>
    <n v="279"/>
    <x v="1"/>
    <x v="1"/>
    <x v="1"/>
    <s v="Life Sciences"/>
    <n v="1"/>
    <n v="2"/>
    <n v="3"/>
    <x v="1"/>
    <n v="61"/>
    <x v="1"/>
    <n v="2"/>
    <x v="1"/>
    <n v="2"/>
    <x v="1"/>
    <n v="5130"/>
    <n v="24907"/>
    <n v="1"/>
    <s v="Y"/>
    <x v="1"/>
    <n v="23"/>
    <x v="1"/>
    <n v="4"/>
    <n v="80"/>
    <x v="1"/>
    <n v="10"/>
    <x v="1"/>
    <x v="1"/>
    <n v="10"/>
    <n v="7"/>
    <x v="1"/>
    <n v="7"/>
  </r>
  <r>
    <n v="37"/>
    <x v="0"/>
    <x v="0"/>
    <n v="1373"/>
    <x v="1"/>
    <x v="2"/>
    <x v="0"/>
    <s v="Other"/>
    <n v="1"/>
    <n v="4"/>
    <n v="4"/>
    <x v="1"/>
    <n v="92"/>
    <x v="1"/>
    <n v="1"/>
    <x v="2"/>
    <n v="3"/>
    <x v="0"/>
    <n v="2090"/>
    <n v="2396"/>
    <n v="6"/>
    <s v="Y"/>
    <x v="0"/>
    <n v="15"/>
    <x v="0"/>
    <n v="2"/>
    <n v="80"/>
    <x v="0"/>
    <n v="7"/>
    <x v="1"/>
    <x v="1"/>
    <n v="0"/>
    <n v="0"/>
    <x v="0"/>
    <n v="0"/>
  </r>
  <r>
    <n v="33"/>
    <x v="1"/>
    <x v="1"/>
    <n v="1392"/>
    <x v="1"/>
    <x v="3"/>
    <x v="2"/>
    <s v="Life Sciences"/>
    <n v="1"/>
    <n v="5"/>
    <n v="4"/>
    <x v="0"/>
    <n v="56"/>
    <x v="0"/>
    <n v="1"/>
    <x v="1"/>
    <n v="3"/>
    <x v="1"/>
    <n v="2909"/>
    <n v="23159"/>
    <n v="1"/>
    <s v="Y"/>
    <x v="0"/>
    <n v="11"/>
    <x v="0"/>
    <n v="3"/>
    <n v="80"/>
    <x v="0"/>
    <n v="8"/>
    <x v="1"/>
    <x v="1"/>
    <n v="8"/>
    <n v="7"/>
    <x v="2"/>
    <n v="0"/>
  </r>
  <r>
    <n v="27"/>
    <x v="1"/>
    <x v="0"/>
    <n v="591"/>
    <x v="1"/>
    <x v="2"/>
    <x v="1"/>
    <s v="Medical"/>
    <n v="1"/>
    <n v="7"/>
    <n v="1"/>
    <x v="1"/>
    <n v="40"/>
    <x v="0"/>
    <n v="1"/>
    <x v="2"/>
    <n v="2"/>
    <x v="1"/>
    <n v="3468"/>
    <n v="16632"/>
    <n v="9"/>
    <s v="Y"/>
    <x v="1"/>
    <n v="12"/>
    <x v="0"/>
    <n v="4"/>
    <n v="80"/>
    <x v="1"/>
    <n v="6"/>
    <x v="1"/>
    <x v="1"/>
    <n v="2"/>
    <n v="2"/>
    <x v="3"/>
    <n v="2"/>
  </r>
  <r>
    <n v="32"/>
    <x v="1"/>
    <x v="1"/>
    <n v="1005"/>
    <x v="1"/>
    <x v="2"/>
    <x v="0"/>
    <s v="Life Sciences"/>
    <n v="1"/>
    <n v="8"/>
    <n v="4"/>
    <x v="1"/>
    <n v="79"/>
    <x v="0"/>
    <n v="1"/>
    <x v="2"/>
    <n v="4"/>
    <x v="0"/>
    <n v="3068"/>
    <n v="11864"/>
    <n v="0"/>
    <s v="Y"/>
    <x v="1"/>
    <n v="13"/>
    <x v="0"/>
    <n v="3"/>
    <n v="80"/>
    <x v="0"/>
    <n v="8"/>
    <x v="2"/>
    <x v="2"/>
    <n v="7"/>
    <n v="7"/>
    <x v="2"/>
    <n v="6"/>
  </r>
  <r>
    <n v="59"/>
    <x v="1"/>
    <x v="0"/>
    <n v="1324"/>
    <x v="1"/>
    <x v="3"/>
    <x v="3"/>
    <s v="Medical"/>
    <n v="1"/>
    <n v="10"/>
    <n v="3"/>
    <x v="0"/>
    <n v="81"/>
    <x v="2"/>
    <n v="1"/>
    <x v="2"/>
    <n v="1"/>
    <x v="1"/>
    <n v="2670"/>
    <n v="9964"/>
    <n v="4"/>
    <s v="Y"/>
    <x v="0"/>
    <n v="20"/>
    <x v="1"/>
    <n v="1"/>
    <n v="80"/>
    <x v="2"/>
    <n v="12"/>
    <x v="1"/>
    <x v="2"/>
    <n v="1"/>
    <n v="0"/>
    <x v="0"/>
    <n v="0"/>
  </r>
  <r>
    <n v="30"/>
    <x v="1"/>
    <x v="0"/>
    <n v="1358"/>
    <x v="1"/>
    <x v="4"/>
    <x v="1"/>
    <s v="Life Sciences"/>
    <n v="1"/>
    <n v="11"/>
    <n v="4"/>
    <x v="1"/>
    <n v="67"/>
    <x v="0"/>
    <n v="1"/>
    <x v="2"/>
    <n v="3"/>
    <x v="2"/>
    <n v="2693"/>
    <n v="13335"/>
    <n v="1"/>
    <s v="Y"/>
    <x v="1"/>
    <n v="22"/>
    <x v="1"/>
    <n v="2"/>
    <n v="80"/>
    <x v="1"/>
    <n v="1"/>
    <x v="2"/>
    <x v="1"/>
    <n v="1"/>
    <n v="0"/>
    <x v="0"/>
    <n v="0"/>
  </r>
  <r>
    <n v="38"/>
    <x v="1"/>
    <x v="1"/>
    <n v="216"/>
    <x v="1"/>
    <x v="5"/>
    <x v="3"/>
    <s v="Life Sciences"/>
    <n v="1"/>
    <n v="12"/>
    <n v="4"/>
    <x v="1"/>
    <n v="44"/>
    <x v="1"/>
    <n v="3"/>
    <x v="3"/>
    <n v="3"/>
    <x v="0"/>
    <n v="9526"/>
    <n v="8787"/>
    <n v="0"/>
    <s v="Y"/>
    <x v="1"/>
    <n v="21"/>
    <x v="1"/>
    <n v="2"/>
    <n v="80"/>
    <x v="0"/>
    <n v="10"/>
    <x v="2"/>
    <x v="1"/>
    <n v="9"/>
    <n v="7"/>
    <x v="1"/>
    <n v="8"/>
  </r>
  <r>
    <n v="36"/>
    <x v="1"/>
    <x v="0"/>
    <n v="1299"/>
    <x v="1"/>
    <x v="6"/>
    <x v="3"/>
    <s v="Medical"/>
    <n v="1"/>
    <n v="13"/>
    <n v="3"/>
    <x v="1"/>
    <n v="94"/>
    <x v="0"/>
    <n v="2"/>
    <x v="4"/>
    <n v="3"/>
    <x v="1"/>
    <n v="5237"/>
    <n v="16577"/>
    <n v="6"/>
    <s v="Y"/>
    <x v="1"/>
    <n v="13"/>
    <x v="0"/>
    <n v="2"/>
    <n v="80"/>
    <x v="3"/>
    <n v="17"/>
    <x v="1"/>
    <x v="2"/>
    <n v="7"/>
    <n v="7"/>
    <x v="4"/>
    <n v="7"/>
  </r>
  <r>
    <n v="35"/>
    <x v="1"/>
    <x v="0"/>
    <n v="809"/>
    <x v="1"/>
    <x v="7"/>
    <x v="3"/>
    <s v="Medical"/>
    <n v="1"/>
    <n v="14"/>
    <n v="1"/>
    <x v="1"/>
    <n v="84"/>
    <x v="2"/>
    <n v="1"/>
    <x v="2"/>
    <n v="2"/>
    <x v="1"/>
    <n v="2426"/>
    <n v="16479"/>
    <n v="0"/>
    <s v="Y"/>
    <x v="1"/>
    <n v="13"/>
    <x v="0"/>
    <n v="3"/>
    <n v="80"/>
    <x v="1"/>
    <n v="6"/>
    <x v="3"/>
    <x v="1"/>
    <n v="5"/>
    <n v="4"/>
    <x v="0"/>
    <n v="3"/>
  </r>
  <r>
    <n v="29"/>
    <x v="1"/>
    <x v="0"/>
    <n v="153"/>
    <x v="1"/>
    <x v="8"/>
    <x v="0"/>
    <s v="Life Sciences"/>
    <n v="1"/>
    <n v="15"/>
    <n v="4"/>
    <x v="0"/>
    <n v="49"/>
    <x v="1"/>
    <n v="2"/>
    <x v="2"/>
    <n v="3"/>
    <x v="0"/>
    <n v="4193"/>
    <n v="12682"/>
    <n v="0"/>
    <s v="Y"/>
    <x v="0"/>
    <n v="12"/>
    <x v="0"/>
    <n v="4"/>
    <n v="80"/>
    <x v="0"/>
    <n v="10"/>
    <x v="1"/>
    <x v="1"/>
    <n v="9"/>
    <n v="5"/>
    <x v="0"/>
    <n v="8"/>
  </r>
  <r>
    <n v="31"/>
    <x v="1"/>
    <x v="0"/>
    <n v="670"/>
    <x v="1"/>
    <x v="9"/>
    <x v="1"/>
    <s v="Life Sciences"/>
    <n v="1"/>
    <n v="16"/>
    <n v="1"/>
    <x v="1"/>
    <n v="31"/>
    <x v="0"/>
    <n v="1"/>
    <x v="1"/>
    <n v="3"/>
    <x v="2"/>
    <n v="2911"/>
    <n v="15170"/>
    <n v="1"/>
    <s v="Y"/>
    <x v="1"/>
    <n v="17"/>
    <x v="0"/>
    <n v="4"/>
    <n v="80"/>
    <x v="1"/>
    <n v="5"/>
    <x v="4"/>
    <x v="2"/>
    <n v="5"/>
    <n v="2"/>
    <x v="5"/>
    <n v="3"/>
  </r>
  <r>
    <n v="34"/>
    <x v="1"/>
    <x v="0"/>
    <n v="1346"/>
    <x v="1"/>
    <x v="10"/>
    <x v="0"/>
    <s v="Medical"/>
    <n v="1"/>
    <n v="18"/>
    <n v="2"/>
    <x v="1"/>
    <n v="93"/>
    <x v="0"/>
    <n v="1"/>
    <x v="2"/>
    <n v="4"/>
    <x v="2"/>
    <n v="2661"/>
    <n v="8758"/>
    <n v="0"/>
    <s v="Y"/>
    <x v="1"/>
    <n v="11"/>
    <x v="0"/>
    <n v="3"/>
    <n v="80"/>
    <x v="1"/>
    <n v="3"/>
    <x v="2"/>
    <x v="1"/>
    <n v="2"/>
    <n v="2"/>
    <x v="1"/>
    <n v="2"/>
  </r>
  <r>
    <n v="28"/>
    <x v="0"/>
    <x v="0"/>
    <n v="103"/>
    <x v="1"/>
    <x v="4"/>
    <x v="3"/>
    <s v="Life Sciences"/>
    <n v="1"/>
    <n v="19"/>
    <n v="3"/>
    <x v="1"/>
    <n v="50"/>
    <x v="1"/>
    <n v="1"/>
    <x v="2"/>
    <n v="3"/>
    <x v="0"/>
    <n v="2028"/>
    <n v="12947"/>
    <n v="5"/>
    <s v="Y"/>
    <x v="0"/>
    <n v="14"/>
    <x v="0"/>
    <n v="2"/>
    <n v="80"/>
    <x v="0"/>
    <n v="6"/>
    <x v="5"/>
    <x v="1"/>
    <n v="4"/>
    <n v="2"/>
    <x v="0"/>
    <n v="3"/>
  </r>
  <r>
    <n v="29"/>
    <x v="1"/>
    <x v="0"/>
    <n v="1389"/>
    <x v="1"/>
    <x v="11"/>
    <x v="2"/>
    <s v="Life Sciences"/>
    <n v="1"/>
    <n v="20"/>
    <n v="2"/>
    <x v="0"/>
    <n v="51"/>
    <x v="2"/>
    <n v="3"/>
    <x v="3"/>
    <n v="1"/>
    <x v="2"/>
    <n v="9980"/>
    <n v="10195"/>
    <n v="1"/>
    <s v="Y"/>
    <x v="1"/>
    <n v="11"/>
    <x v="0"/>
    <n v="3"/>
    <n v="80"/>
    <x v="1"/>
    <n v="10"/>
    <x v="4"/>
    <x v="1"/>
    <n v="10"/>
    <n v="9"/>
    <x v="6"/>
    <n v="8"/>
  </r>
  <r>
    <n v="32"/>
    <x v="1"/>
    <x v="0"/>
    <n v="334"/>
    <x v="1"/>
    <x v="12"/>
    <x v="0"/>
    <s v="Life Sciences"/>
    <n v="1"/>
    <n v="21"/>
    <n v="1"/>
    <x v="1"/>
    <n v="80"/>
    <x v="2"/>
    <n v="1"/>
    <x v="1"/>
    <n v="2"/>
    <x v="2"/>
    <n v="3298"/>
    <n v="15053"/>
    <n v="0"/>
    <s v="Y"/>
    <x v="0"/>
    <n v="12"/>
    <x v="0"/>
    <n v="4"/>
    <n v="80"/>
    <x v="3"/>
    <n v="7"/>
    <x v="3"/>
    <x v="2"/>
    <n v="6"/>
    <n v="2"/>
    <x v="0"/>
    <n v="5"/>
  </r>
  <r>
    <n v="22"/>
    <x v="1"/>
    <x v="2"/>
    <n v="1123"/>
    <x v="1"/>
    <x v="7"/>
    <x v="0"/>
    <s v="Medical"/>
    <n v="1"/>
    <n v="22"/>
    <n v="4"/>
    <x v="1"/>
    <n v="96"/>
    <x v="2"/>
    <n v="1"/>
    <x v="2"/>
    <n v="4"/>
    <x v="2"/>
    <n v="2935"/>
    <n v="7324"/>
    <n v="1"/>
    <s v="Y"/>
    <x v="0"/>
    <n v="13"/>
    <x v="0"/>
    <n v="2"/>
    <n v="80"/>
    <x v="3"/>
    <n v="1"/>
    <x v="2"/>
    <x v="2"/>
    <n v="1"/>
    <n v="0"/>
    <x v="0"/>
    <n v="0"/>
  </r>
  <r>
    <n v="53"/>
    <x v="1"/>
    <x v="0"/>
    <n v="1219"/>
    <x v="0"/>
    <x v="2"/>
    <x v="2"/>
    <s v="Life Sciences"/>
    <n v="1"/>
    <n v="23"/>
    <n v="1"/>
    <x v="0"/>
    <n v="78"/>
    <x v="1"/>
    <n v="4"/>
    <x v="5"/>
    <n v="4"/>
    <x v="1"/>
    <n v="15427"/>
    <n v="22021"/>
    <n v="2"/>
    <s v="Y"/>
    <x v="1"/>
    <n v="16"/>
    <x v="0"/>
    <n v="3"/>
    <n v="80"/>
    <x v="0"/>
    <n v="31"/>
    <x v="1"/>
    <x v="1"/>
    <n v="25"/>
    <n v="8"/>
    <x v="2"/>
    <n v="7"/>
  </r>
  <r>
    <n v="38"/>
    <x v="1"/>
    <x v="0"/>
    <n v="371"/>
    <x v="1"/>
    <x v="2"/>
    <x v="3"/>
    <s v="Life Sciences"/>
    <n v="1"/>
    <n v="24"/>
    <n v="4"/>
    <x v="1"/>
    <n v="45"/>
    <x v="0"/>
    <n v="1"/>
    <x v="1"/>
    <n v="4"/>
    <x v="0"/>
    <n v="3944"/>
    <n v="4306"/>
    <n v="5"/>
    <s v="Y"/>
    <x v="0"/>
    <n v="11"/>
    <x v="0"/>
    <n v="3"/>
    <n v="80"/>
    <x v="0"/>
    <n v="6"/>
    <x v="1"/>
    <x v="1"/>
    <n v="3"/>
    <n v="2"/>
    <x v="1"/>
    <n v="2"/>
  </r>
  <r>
    <n v="24"/>
    <x v="1"/>
    <x v="2"/>
    <n v="673"/>
    <x v="1"/>
    <x v="13"/>
    <x v="0"/>
    <s v="Other"/>
    <n v="1"/>
    <n v="26"/>
    <n v="1"/>
    <x v="0"/>
    <n v="96"/>
    <x v="2"/>
    <n v="2"/>
    <x v="3"/>
    <n v="3"/>
    <x v="2"/>
    <n v="4011"/>
    <n v="8232"/>
    <n v="0"/>
    <s v="Y"/>
    <x v="1"/>
    <n v="18"/>
    <x v="0"/>
    <n v="4"/>
    <n v="80"/>
    <x v="1"/>
    <n v="5"/>
    <x v="3"/>
    <x v="2"/>
    <n v="4"/>
    <n v="2"/>
    <x v="1"/>
    <n v="3"/>
  </r>
  <r>
    <n v="36"/>
    <x v="0"/>
    <x v="0"/>
    <n v="1218"/>
    <x v="0"/>
    <x v="14"/>
    <x v="2"/>
    <s v="Life Sciences"/>
    <n v="1"/>
    <n v="27"/>
    <n v="3"/>
    <x v="1"/>
    <n v="82"/>
    <x v="1"/>
    <n v="1"/>
    <x v="6"/>
    <n v="1"/>
    <x v="0"/>
    <n v="3407"/>
    <n v="6986"/>
    <n v="7"/>
    <s v="Y"/>
    <x v="1"/>
    <n v="23"/>
    <x v="1"/>
    <n v="2"/>
    <n v="80"/>
    <x v="0"/>
    <n v="10"/>
    <x v="5"/>
    <x v="1"/>
    <n v="5"/>
    <n v="3"/>
    <x v="0"/>
    <n v="3"/>
  </r>
  <r>
    <n v="34"/>
    <x v="1"/>
    <x v="0"/>
    <n v="419"/>
    <x v="1"/>
    <x v="15"/>
    <x v="2"/>
    <s v="Life Sciences"/>
    <n v="1"/>
    <n v="28"/>
    <n v="1"/>
    <x v="0"/>
    <n v="53"/>
    <x v="0"/>
    <n v="3"/>
    <x v="7"/>
    <n v="2"/>
    <x v="0"/>
    <n v="11994"/>
    <n v="21293"/>
    <n v="0"/>
    <s v="Y"/>
    <x v="1"/>
    <n v="11"/>
    <x v="0"/>
    <n v="3"/>
    <n v="80"/>
    <x v="0"/>
    <n v="13"/>
    <x v="5"/>
    <x v="1"/>
    <n v="12"/>
    <n v="6"/>
    <x v="3"/>
    <n v="11"/>
  </r>
  <r>
    <n v="21"/>
    <x v="1"/>
    <x v="0"/>
    <n v="391"/>
    <x v="1"/>
    <x v="8"/>
    <x v="0"/>
    <s v="Life Sciences"/>
    <n v="1"/>
    <n v="30"/>
    <n v="3"/>
    <x v="1"/>
    <n v="96"/>
    <x v="0"/>
    <n v="1"/>
    <x v="1"/>
    <n v="4"/>
    <x v="0"/>
    <n v="1232"/>
    <n v="19281"/>
    <n v="1"/>
    <s v="Y"/>
    <x v="1"/>
    <n v="14"/>
    <x v="0"/>
    <n v="4"/>
    <n v="80"/>
    <x v="0"/>
    <n v="0"/>
    <x v="6"/>
    <x v="1"/>
    <n v="0"/>
    <n v="0"/>
    <x v="0"/>
    <n v="0"/>
  </r>
  <r>
    <n v="34"/>
    <x v="0"/>
    <x v="0"/>
    <n v="699"/>
    <x v="1"/>
    <x v="16"/>
    <x v="1"/>
    <s v="Medical"/>
    <n v="1"/>
    <n v="31"/>
    <n v="2"/>
    <x v="1"/>
    <n v="83"/>
    <x v="0"/>
    <n v="1"/>
    <x v="1"/>
    <n v="1"/>
    <x v="0"/>
    <n v="2960"/>
    <n v="17102"/>
    <n v="2"/>
    <s v="Y"/>
    <x v="1"/>
    <n v="11"/>
    <x v="0"/>
    <n v="3"/>
    <n v="80"/>
    <x v="0"/>
    <n v="8"/>
    <x v="2"/>
    <x v="1"/>
    <n v="4"/>
    <n v="2"/>
    <x v="1"/>
    <n v="3"/>
  </r>
  <r>
    <n v="53"/>
    <x v="1"/>
    <x v="0"/>
    <n v="1282"/>
    <x v="1"/>
    <x v="12"/>
    <x v="3"/>
    <s v="Other"/>
    <n v="1"/>
    <n v="32"/>
    <n v="3"/>
    <x v="0"/>
    <n v="58"/>
    <x v="0"/>
    <n v="5"/>
    <x v="5"/>
    <n v="3"/>
    <x v="2"/>
    <n v="19094"/>
    <n v="10735"/>
    <n v="4"/>
    <s v="Y"/>
    <x v="1"/>
    <n v="11"/>
    <x v="0"/>
    <n v="4"/>
    <n v="80"/>
    <x v="1"/>
    <n v="26"/>
    <x v="1"/>
    <x v="2"/>
    <n v="14"/>
    <n v="13"/>
    <x v="5"/>
    <n v="8"/>
  </r>
  <r>
    <n v="32"/>
    <x v="0"/>
    <x v="1"/>
    <n v="1125"/>
    <x v="1"/>
    <x v="7"/>
    <x v="1"/>
    <s v="Life Sciences"/>
    <n v="1"/>
    <n v="33"/>
    <n v="2"/>
    <x v="0"/>
    <n v="72"/>
    <x v="3"/>
    <n v="1"/>
    <x v="1"/>
    <n v="1"/>
    <x v="0"/>
    <n v="3919"/>
    <n v="4681"/>
    <n v="1"/>
    <s v="Y"/>
    <x v="0"/>
    <n v="22"/>
    <x v="1"/>
    <n v="2"/>
    <n v="80"/>
    <x v="0"/>
    <n v="10"/>
    <x v="3"/>
    <x v="1"/>
    <n v="10"/>
    <n v="2"/>
    <x v="7"/>
    <n v="7"/>
  </r>
  <r>
    <n v="42"/>
    <x v="1"/>
    <x v="0"/>
    <n v="691"/>
    <x v="0"/>
    <x v="1"/>
    <x v="2"/>
    <s v="Marketing"/>
    <n v="1"/>
    <n v="35"/>
    <n v="3"/>
    <x v="1"/>
    <n v="48"/>
    <x v="0"/>
    <n v="2"/>
    <x v="0"/>
    <n v="2"/>
    <x v="1"/>
    <n v="6825"/>
    <n v="21173"/>
    <n v="0"/>
    <s v="Y"/>
    <x v="1"/>
    <n v="11"/>
    <x v="0"/>
    <n v="4"/>
    <n v="80"/>
    <x v="1"/>
    <n v="10"/>
    <x v="2"/>
    <x v="1"/>
    <n v="9"/>
    <n v="7"/>
    <x v="5"/>
    <n v="2"/>
  </r>
  <r>
    <n v="44"/>
    <x v="1"/>
    <x v="0"/>
    <n v="477"/>
    <x v="1"/>
    <x v="15"/>
    <x v="2"/>
    <s v="Medical"/>
    <n v="1"/>
    <n v="36"/>
    <n v="1"/>
    <x v="0"/>
    <n v="42"/>
    <x v="1"/>
    <n v="3"/>
    <x v="4"/>
    <n v="4"/>
    <x v="1"/>
    <n v="10248"/>
    <n v="2094"/>
    <n v="3"/>
    <s v="Y"/>
    <x v="1"/>
    <n v="14"/>
    <x v="0"/>
    <n v="4"/>
    <n v="80"/>
    <x v="1"/>
    <n v="24"/>
    <x v="5"/>
    <x v="1"/>
    <n v="22"/>
    <n v="6"/>
    <x v="8"/>
    <n v="17"/>
  </r>
  <r>
    <n v="46"/>
    <x v="1"/>
    <x v="0"/>
    <n v="705"/>
    <x v="0"/>
    <x v="2"/>
    <x v="2"/>
    <s v="Marketing"/>
    <n v="1"/>
    <n v="38"/>
    <n v="2"/>
    <x v="0"/>
    <n v="83"/>
    <x v="0"/>
    <n v="5"/>
    <x v="5"/>
    <n v="1"/>
    <x v="0"/>
    <n v="18947"/>
    <n v="22822"/>
    <n v="3"/>
    <s v="Y"/>
    <x v="1"/>
    <n v="12"/>
    <x v="0"/>
    <n v="4"/>
    <n v="80"/>
    <x v="0"/>
    <n v="22"/>
    <x v="2"/>
    <x v="2"/>
    <n v="2"/>
    <n v="2"/>
    <x v="3"/>
    <n v="1"/>
  </r>
  <r>
    <n v="33"/>
    <x v="1"/>
    <x v="0"/>
    <n v="924"/>
    <x v="1"/>
    <x v="2"/>
    <x v="3"/>
    <s v="Medical"/>
    <n v="1"/>
    <n v="39"/>
    <n v="3"/>
    <x v="1"/>
    <n v="78"/>
    <x v="0"/>
    <n v="1"/>
    <x v="2"/>
    <n v="4"/>
    <x v="0"/>
    <n v="2496"/>
    <n v="6670"/>
    <n v="4"/>
    <s v="Y"/>
    <x v="1"/>
    <n v="11"/>
    <x v="0"/>
    <n v="4"/>
    <n v="80"/>
    <x v="0"/>
    <n v="7"/>
    <x v="1"/>
    <x v="1"/>
    <n v="1"/>
    <n v="1"/>
    <x v="0"/>
    <n v="0"/>
  </r>
  <r>
    <n v="44"/>
    <x v="1"/>
    <x v="0"/>
    <n v="1459"/>
    <x v="1"/>
    <x v="17"/>
    <x v="2"/>
    <s v="Other"/>
    <n v="1"/>
    <n v="40"/>
    <n v="4"/>
    <x v="1"/>
    <n v="41"/>
    <x v="0"/>
    <n v="2"/>
    <x v="4"/>
    <n v="4"/>
    <x v="1"/>
    <n v="6465"/>
    <n v="19121"/>
    <n v="2"/>
    <s v="Y"/>
    <x v="0"/>
    <n v="13"/>
    <x v="0"/>
    <n v="4"/>
    <n v="80"/>
    <x v="0"/>
    <n v="9"/>
    <x v="3"/>
    <x v="3"/>
    <n v="4"/>
    <n v="2"/>
    <x v="1"/>
    <n v="3"/>
  </r>
  <r>
    <n v="30"/>
    <x v="1"/>
    <x v="0"/>
    <n v="125"/>
    <x v="1"/>
    <x v="14"/>
    <x v="0"/>
    <s v="Medical"/>
    <n v="1"/>
    <n v="41"/>
    <n v="4"/>
    <x v="1"/>
    <n v="83"/>
    <x v="1"/>
    <n v="1"/>
    <x v="2"/>
    <n v="3"/>
    <x v="0"/>
    <n v="2206"/>
    <n v="16117"/>
    <n v="1"/>
    <s v="Y"/>
    <x v="1"/>
    <n v="13"/>
    <x v="0"/>
    <n v="1"/>
    <n v="80"/>
    <x v="0"/>
    <n v="10"/>
    <x v="3"/>
    <x v="1"/>
    <n v="10"/>
    <n v="0"/>
    <x v="1"/>
    <n v="8"/>
  </r>
  <r>
    <n v="39"/>
    <x v="0"/>
    <x v="0"/>
    <n v="895"/>
    <x v="0"/>
    <x v="12"/>
    <x v="3"/>
    <s v="Technical Degree"/>
    <n v="1"/>
    <n v="42"/>
    <n v="4"/>
    <x v="1"/>
    <n v="56"/>
    <x v="0"/>
    <n v="2"/>
    <x v="6"/>
    <n v="4"/>
    <x v="1"/>
    <n v="2086"/>
    <n v="3335"/>
    <n v="3"/>
    <s v="Y"/>
    <x v="1"/>
    <n v="14"/>
    <x v="0"/>
    <n v="3"/>
    <n v="80"/>
    <x v="1"/>
    <n v="19"/>
    <x v="6"/>
    <x v="3"/>
    <n v="1"/>
    <n v="0"/>
    <x v="0"/>
    <n v="0"/>
  </r>
  <r>
    <n v="24"/>
    <x v="0"/>
    <x v="0"/>
    <n v="813"/>
    <x v="1"/>
    <x v="0"/>
    <x v="3"/>
    <s v="Medical"/>
    <n v="1"/>
    <n v="45"/>
    <n v="2"/>
    <x v="1"/>
    <n v="61"/>
    <x v="0"/>
    <n v="1"/>
    <x v="1"/>
    <n v="4"/>
    <x v="1"/>
    <n v="2293"/>
    <n v="3020"/>
    <n v="2"/>
    <s v="Y"/>
    <x v="0"/>
    <n v="16"/>
    <x v="0"/>
    <n v="1"/>
    <n v="80"/>
    <x v="1"/>
    <n v="6"/>
    <x v="2"/>
    <x v="2"/>
    <n v="2"/>
    <n v="0"/>
    <x v="3"/>
    <n v="0"/>
  </r>
  <r>
    <n v="43"/>
    <x v="1"/>
    <x v="0"/>
    <n v="1273"/>
    <x v="1"/>
    <x v="2"/>
    <x v="0"/>
    <s v="Medical"/>
    <n v="1"/>
    <n v="46"/>
    <n v="4"/>
    <x v="0"/>
    <n v="72"/>
    <x v="2"/>
    <n v="1"/>
    <x v="1"/>
    <n v="3"/>
    <x v="2"/>
    <n v="2645"/>
    <n v="21923"/>
    <n v="1"/>
    <s v="Y"/>
    <x v="1"/>
    <n v="12"/>
    <x v="0"/>
    <n v="4"/>
    <n v="80"/>
    <x v="3"/>
    <n v="6"/>
    <x v="1"/>
    <x v="2"/>
    <n v="5"/>
    <n v="3"/>
    <x v="1"/>
    <n v="4"/>
  </r>
  <r>
    <n v="50"/>
    <x v="0"/>
    <x v="0"/>
    <n v="869"/>
    <x v="0"/>
    <x v="3"/>
    <x v="0"/>
    <s v="Marketing"/>
    <n v="1"/>
    <n v="47"/>
    <n v="1"/>
    <x v="1"/>
    <n v="86"/>
    <x v="1"/>
    <n v="1"/>
    <x v="6"/>
    <n v="3"/>
    <x v="1"/>
    <n v="2683"/>
    <n v="3810"/>
    <n v="1"/>
    <s v="Y"/>
    <x v="0"/>
    <n v="14"/>
    <x v="0"/>
    <n v="3"/>
    <n v="80"/>
    <x v="0"/>
    <n v="3"/>
    <x v="2"/>
    <x v="1"/>
    <n v="3"/>
    <n v="2"/>
    <x v="0"/>
    <n v="2"/>
  </r>
  <r>
    <n v="35"/>
    <x v="1"/>
    <x v="0"/>
    <n v="890"/>
    <x v="0"/>
    <x v="2"/>
    <x v="3"/>
    <s v="Marketing"/>
    <n v="1"/>
    <n v="49"/>
    <n v="4"/>
    <x v="0"/>
    <n v="97"/>
    <x v="0"/>
    <n v="1"/>
    <x v="6"/>
    <n v="4"/>
    <x v="1"/>
    <n v="2014"/>
    <n v="9687"/>
    <n v="1"/>
    <s v="Y"/>
    <x v="1"/>
    <n v="13"/>
    <x v="0"/>
    <n v="1"/>
    <n v="80"/>
    <x v="0"/>
    <n v="2"/>
    <x v="1"/>
    <x v="1"/>
    <n v="2"/>
    <n v="2"/>
    <x v="3"/>
    <n v="2"/>
  </r>
  <r>
    <n v="36"/>
    <x v="1"/>
    <x v="0"/>
    <n v="852"/>
    <x v="1"/>
    <x v="12"/>
    <x v="2"/>
    <s v="Life Sciences"/>
    <n v="1"/>
    <n v="51"/>
    <n v="2"/>
    <x v="0"/>
    <n v="82"/>
    <x v="1"/>
    <n v="1"/>
    <x v="1"/>
    <n v="1"/>
    <x v="1"/>
    <n v="3419"/>
    <n v="13072"/>
    <n v="9"/>
    <s v="Y"/>
    <x v="0"/>
    <n v="14"/>
    <x v="0"/>
    <n v="4"/>
    <n v="80"/>
    <x v="1"/>
    <n v="6"/>
    <x v="1"/>
    <x v="3"/>
    <n v="1"/>
    <n v="1"/>
    <x v="0"/>
    <n v="0"/>
  </r>
  <r>
    <n v="33"/>
    <x v="1"/>
    <x v="1"/>
    <n v="1141"/>
    <x v="0"/>
    <x v="0"/>
    <x v="3"/>
    <s v="Life Sciences"/>
    <n v="1"/>
    <n v="52"/>
    <n v="3"/>
    <x v="0"/>
    <n v="42"/>
    <x v="2"/>
    <n v="2"/>
    <x v="0"/>
    <n v="1"/>
    <x v="1"/>
    <n v="5376"/>
    <n v="3193"/>
    <n v="2"/>
    <s v="Y"/>
    <x v="1"/>
    <n v="19"/>
    <x v="0"/>
    <n v="1"/>
    <n v="80"/>
    <x v="3"/>
    <n v="10"/>
    <x v="1"/>
    <x v="1"/>
    <n v="5"/>
    <n v="3"/>
    <x v="1"/>
    <n v="3"/>
  </r>
  <r>
    <n v="35"/>
    <x v="1"/>
    <x v="0"/>
    <n v="464"/>
    <x v="1"/>
    <x v="18"/>
    <x v="0"/>
    <s v="Other"/>
    <n v="1"/>
    <n v="53"/>
    <n v="3"/>
    <x v="1"/>
    <n v="75"/>
    <x v="0"/>
    <n v="1"/>
    <x v="2"/>
    <n v="4"/>
    <x v="2"/>
    <n v="1951"/>
    <n v="10910"/>
    <n v="1"/>
    <s v="Y"/>
    <x v="1"/>
    <n v="12"/>
    <x v="0"/>
    <n v="3"/>
    <n v="80"/>
    <x v="1"/>
    <n v="1"/>
    <x v="1"/>
    <x v="1"/>
    <n v="1"/>
    <n v="0"/>
    <x v="0"/>
    <n v="0"/>
  </r>
  <r>
    <n v="27"/>
    <x v="1"/>
    <x v="0"/>
    <n v="1240"/>
    <x v="1"/>
    <x v="2"/>
    <x v="2"/>
    <s v="Life Sciences"/>
    <n v="1"/>
    <n v="54"/>
    <n v="4"/>
    <x v="0"/>
    <n v="33"/>
    <x v="0"/>
    <n v="1"/>
    <x v="2"/>
    <n v="1"/>
    <x v="2"/>
    <n v="2341"/>
    <n v="19715"/>
    <n v="1"/>
    <s v="Y"/>
    <x v="1"/>
    <n v="13"/>
    <x v="0"/>
    <n v="4"/>
    <n v="80"/>
    <x v="1"/>
    <n v="1"/>
    <x v="6"/>
    <x v="1"/>
    <n v="1"/>
    <n v="0"/>
    <x v="0"/>
    <n v="0"/>
  </r>
  <r>
    <n v="26"/>
    <x v="0"/>
    <x v="0"/>
    <n v="1357"/>
    <x v="1"/>
    <x v="19"/>
    <x v="3"/>
    <s v="Life Sciences"/>
    <n v="1"/>
    <n v="55"/>
    <n v="1"/>
    <x v="1"/>
    <n v="48"/>
    <x v="3"/>
    <n v="1"/>
    <x v="2"/>
    <n v="3"/>
    <x v="0"/>
    <n v="2293"/>
    <n v="10558"/>
    <n v="1"/>
    <s v="Y"/>
    <x v="1"/>
    <n v="12"/>
    <x v="0"/>
    <n v="3"/>
    <n v="80"/>
    <x v="0"/>
    <n v="1"/>
    <x v="2"/>
    <x v="2"/>
    <n v="1"/>
    <n v="0"/>
    <x v="0"/>
    <n v="1"/>
  </r>
  <r>
    <n v="27"/>
    <x v="1"/>
    <x v="1"/>
    <n v="994"/>
    <x v="0"/>
    <x v="1"/>
    <x v="3"/>
    <s v="Life Sciences"/>
    <n v="1"/>
    <n v="56"/>
    <n v="4"/>
    <x v="1"/>
    <n v="37"/>
    <x v="0"/>
    <n v="3"/>
    <x v="0"/>
    <n v="3"/>
    <x v="0"/>
    <n v="8726"/>
    <n v="2975"/>
    <n v="1"/>
    <s v="Y"/>
    <x v="1"/>
    <n v="15"/>
    <x v="0"/>
    <n v="4"/>
    <n v="80"/>
    <x v="0"/>
    <n v="9"/>
    <x v="0"/>
    <x v="1"/>
    <n v="9"/>
    <n v="8"/>
    <x v="1"/>
    <n v="7"/>
  </r>
  <r>
    <n v="30"/>
    <x v="1"/>
    <x v="1"/>
    <n v="721"/>
    <x v="1"/>
    <x v="0"/>
    <x v="0"/>
    <s v="Medical"/>
    <n v="1"/>
    <n v="57"/>
    <n v="3"/>
    <x v="0"/>
    <n v="58"/>
    <x v="0"/>
    <n v="2"/>
    <x v="2"/>
    <n v="4"/>
    <x v="0"/>
    <n v="4011"/>
    <n v="10781"/>
    <n v="1"/>
    <s v="Y"/>
    <x v="1"/>
    <n v="23"/>
    <x v="1"/>
    <n v="4"/>
    <n v="80"/>
    <x v="0"/>
    <n v="12"/>
    <x v="2"/>
    <x v="1"/>
    <n v="12"/>
    <n v="8"/>
    <x v="2"/>
    <n v="7"/>
  </r>
  <r>
    <n v="41"/>
    <x v="0"/>
    <x v="0"/>
    <n v="1360"/>
    <x v="1"/>
    <x v="20"/>
    <x v="3"/>
    <s v="Technical Degree"/>
    <n v="1"/>
    <n v="58"/>
    <n v="2"/>
    <x v="0"/>
    <n v="49"/>
    <x v="0"/>
    <n v="5"/>
    <x v="7"/>
    <n v="3"/>
    <x v="1"/>
    <n v="19545"/>
    <n v="16280"/>
    <n v="1"/>
    <s v="Y"/>
    <x v="1"/>
    <n v="12"/>
    <x v="0"/>
    <n v="4"/>
    <n v="80"/>
    <x v="0"/>
    <n v="23"/>
    <x v="0"/>
    <x v="1"/>
    <n v="22"/>
    <n v="15"/>
    <x v="9"/>
    <n v="8"/>
  </r>
  <r>
    <n v="34"/>
    <x v="1"/>
    <x v="2"/>
    <n v="1065"/>
    <x v="0"/>
    <x v="5"/>
    <x v="2"/>
    <s v="Marketing"/>
    <n v="1"/>
    <n v="60"/>
    <n v="2"/>
    <x v="1"/>
    <n v="72"/>
    <x v="0"/>
    <n v="2"/>
    <x v="0"/>
    <n v="3"/>
    <x v="0"/>
    <n v="4568"/>
    <n v="10034"/>
    <n v="0"/>
    <s v="Y"/>
    <x v="1"/>
    <n v="20"/>
    <x v="1"/>
    <n v="3"/>
    <n v="80"/>
    <x v="0"/>
    <n v="10"/>
    <x v="2"/>
    <x v="1"/>
    <n v="9"/>
    <n v="5"/>
    <x v="6"/>
    <n v="7"/>
  </r>
  <r>
    <n v="37"/>
    <x v="1"/>
    <x v="0"/>
    <n v="408"/>
    <x v="1"/>
    <x v="10"/>
    <x v="0"/>
    <s v="Life Sciences"/>
    <n v="1"/>
    <n v="61"/>
    <n v="2"/>
    <x v="1"/>
    <n v="73"/>
    <x v="0"/>
    <n v="1"/>
    <x v="1"/>
    <n v="2"/>
    <x v="1"/>
    <n v="3022"/>
    <n v="10227"/>
    <n v="4"/>
    <s v="Y"/>
    <x v="1"/>
    <n v="21"/>
    <x v="1"/>
    <n v="1"/>
    <n v="80"/>
    <x v="0"/>
    <n v="8"/>
    <x v="4"/>
    <x v="1"/>
    <n v="1"/>
    <n v="0"/>
    <x v="0"/>
    <n v="0"/>
  </r>
  <r>
    <n v="46"/>
    <x v="1"/>
    <x v="1"/>
    <n v="1211"/>
    <x v="0"/>
    <x v="12"/>
    <x v="2"/>
    <s v="Marketing"/>
    <n v="1"/>
    <n v="62"/>
    <n v="1"/>
    <x v="1"/>
    <n v="98"/>
    <x v="0"/>
    <n v="2"/>
    <x v="0"/>
    <n v="4"/>
    <x v="0"/>
    <n v="5772"/>
    <n v="20445"/>
    <n v="4"/>
    <s v="Y"/>
    <x v="0"/>
    <n v="21"/>
    <x v="1"/>
    <n v="3"/>
    <n v="80"/>
    <x v="0"/>
    <n v="14"/>
    <x v="5"/>
    <x v="1"/>
    <n v="9"/>
    <n v="6"/>
    <x v="0"/>
    <n v="8"/>
  </r>
  <r>
    <n v="35"/>
    <x v="1"/>
    <x v="0"/>
    <n v="1229"/>
    <x v="1"/>
    <x v="1"/>
    <x v="1"/>
    <s v="Life Sciences"/>
    <n v="1"/>
    <n v="63"/>
    <n v="4"/>
    <x v="1"/>
    <n v="36"/>
    <x v="2"/>
    <n v="1"/>
    <x v="2"/>
    <n v="4"/>
    <x v="1"/>
    <n v="2269"/>
    <n v="4892"/>
    <n v="1"/>
    <s v="Y"/>
    <x v="1"/>
    <n v="19"/>
    <x v="0"/>
    <n v="4"/>
    <n v="80"/>
    <x v="0"/>
    <n v="1"/>
    <x v="2"/>
    <x v="1"/>
    <n v="1"/>
    <n v="0"/>
    <x v="0"/>
    <n v="1"/>
  </r>
  <r>
    <n v="48"/>
    <x v="0"/>
    <x v="0"/>
    <n v="626"/>
    <x v="1"/>
    <x v="0"/>
    <x v="0"/>
    <s v="Life Sciences"/>
    <n v="1"/>
    <n v="64"/>
    <n v="1"/>
    <x v="1"/>
    <n v="98"/>
    <x v="1"/>
    <n v="3"/>
    <x v="2"/>
    <n v="3"/>
    <x v="0"/>
    <n v="5381"/>
    <n v="19294"/>
    <n v="9"/>
    <s v="Y"/>
    <x v="0"/>
    <n v="13"/>
    <x v="0"/>
    <n v="4"/>
    <n v="80"/>
    <x v="0"/>
    <n v="23"/>
    <x v="2"/>
    <x v="1"/>
    <n v="1"/>
    <n v="0"/>
    <x v="0"/>
    <n v="0"/>
  </r>
  <r>
    <n v="28"/>
    <x v="0"/>
    <x v="0"/>
    <n v="1434"/>
    <x v="1"/>
    <x v="12"/>
    <x v="2"/>
    <s v="Technical Degree"/>
    <n v="1"/>
    <n v="65"/>
    <n v="3"/>
    <x v="1"/>
    <n v="50"/>
    <x v="0"/>
    <n v="1"/>
    <x v="2"/>
    <n v="3"/>
    <x v="0"/>
    <n v="3441"/>
    <n v="11179"/>
    <n v="1"/>
    <s v="Y"/>
    <x v="0"/>
    <n v="13"/>
    <x v="0"/>
    <n v="3"/>
    <n v="80"/>
    <x v="0"/>
    <n v="2"/>
    <x v="1"/>
    <x v="2"/>
    <n v="2"/>
    <n v="2"/>
    <x v="3"/>
    <n v="2"/>
  </r>
  <r>
    <n v="44"/>
    <x v="1"/>
    <x v="0"/>
    <n v="1488"/>
    <x v="0"/>
    <x v="0"/>
    <x v="4"/>
    <s v="Marketing"/>
    <n v="1"/>
    <n v="68"/>
    <n v="2"/>
    <x v="0"/>
    <n v="75"/>
    <x v="0"/>
    <n v="2"/>
    <x v="0"/>
    <n v="1"/>
    <x v="2"/>
    <n v="5454"/>
    <n v="4009"/>
    <n v="5"/>
    <s v="Y"/>
    <x v="0"/>
    <n v="21"/>
    <x v="1"/>
    <n v="3"/>
    <n v="80"/>
    <x v="1"/>
    <n v="9"/>
    <x v="2"/>
    <x v="2"/>
    <n v="4"/>
    <n v="3"/>
    <x v="1"/>
    <n v="3"/>
  </r>
  <r>
    <n v="35"/>
    <x v="1"/>
    <x v="2"/>
    <n v="1097"/>
    <x v="1"/>
    <x v="13"/>
    <x v="0"/>
    <s v="Medical"/>
    <n v="1"/>
    <n v="70"/>
    <n v="3"/>
    <x v="1"/>
    <n v="79"/>
    <x v="1"/>
    <n v="3"/>
    <x v="4"/>
    <n v="1"/>
    <x v="1"/>
    <n v="9884"/>
    <n v="8302"/>
    <n v="2"/>
    <s v="Y"/>
    <x v="0"/>
    <n v="13"/>
    <x v="0"/>
    <n v="3"/>
    <n v="80"/>
    <x v="1"/>
    <n v="10"/>
    <x v="1"/>
    <x v="1"/>
    <n v="4"/>
    <n v="0"/>
    <x v="3"/>
    <n v="3"/>
  </r>
  <r>
    <n v="26"/>
    <x v="1"/>
    <x v="0"/>
    <n v="1443"/>
    <x v="0"/>
    <x v="5"/>
    <x v="3"/>
    <s v="Marketing"/>
    <n v="1"/>
    <n v="72"/>
    <n v="3"/>
    <x v="0"/>
    <n v="47"/>
    <x v="1"/>
    <n v="2"/>
    <x v="0"/>
    <n v="4"/>
    <x v="1"/>
    <n v="4157"/>
    <n v="21436"/>
    <n v="7"/>
    <s v="Y"/>
    <x v="0"/>
    <n v="19"/>
    <x v="0"/>
    <n v="3"/>
    <n v="80"/>
    <x v="1"/>
    <n v="5"/>
    <x v="2"/>
    <x v="2"/>
    <n v="2"/>
    <n v="2"/>
    <x v="0"/>
    <n v="0"/>
  </r>
  <r>
    <n v="33"/>
    <x v="1"/>
    <x v="1"/>
    <n v="515"/>
    <x v="1"/>
    <x v="0"/>
    <x v="0"/>
    <s v="Life Sciences"/>
    <n v="1"/>
    <n v="73"/>
    <n v="1"/>
    <x v="0"/>
    <n v="98"/>
    <x v="0"/>
    <n v="3"/>
    <x v="7"/>
    <n v="4"/>
    <x v="0"/>
    <n v="13458"/>
    <n v="15146"/>
    <n v="1"/>
    <s v="Y"/>
    <x v="0"/>
    <n v="12"/>
    <x v="0"/>
    <n v="3"/>
    <n v="80"/>
    <x v="0"/>
    <n v="15"/>
    <x v="4"/>
    <x v="1"/>
    <n v="15"/>
    <n v="14"/>
    <x v="6"/>
    <n v="12"/>
  </r>
  <r>
    <n v="35"/>
    <x v="1"/>
    <x v="1"/>
    <n v="853"/>
    <x v="0"/>
    <x v="21"/>
    <x v="4"/>
    <s v="Life Sciences"/>
    <n v="1"/>
    <n v="74"/>
    <n v="2"/>
    <x v="1"/>
    <n v="71"/>
    <x v="0"/>
    <n v="3"/>
    <x v="0"/>
    <n v="1"/>
    <x v="1"/>
    <n v="9069"/>
    <n v="11031"/>
    <n v="1"/>
    <s v="Y"/>
    <x v="1"/>
    <n v="22"/>
    <x v="1"/>
    <n v="4"/>
    <n v="80"/>
    <x v="1"/>
    <n v="9"/>
    <x v="1"/>
    <x v="2"/>
    <n v="9"/>
    <n v="8"/>
    <x v="1"/>
    <n v="8"/>
  </r>
  <r>
    <n v="35"/>
    <x v="1"/>
    <x v="0"/>
    <n v="1142"/>
    <x v="1"/>
    <x v="5"/>
    <x v="2"/>
    <s v="Medical"/>
    <n v="1"/>
    <n v="75"/>
    <n v="3"/>
    <x v="0"/>
    <n v="30"/>
    <x v="0"/>
    <n v="1"/>
    <x v="2"/>
    <n v="1"/>
    <x v="1"/>
    <n v="4014"/>
    <n v="16002"/>
    <n v="3"/>
    <s v="Y"/>
    <x v="0"/>
    <n v="15"/>
    <x v="0"/>
    <n v="3"/>
    <n v="80"/>
    <x v="1"/>
    <n v="4"/>
    <x v="1"/>
    <x v="1"/>
    <n v="2"/>
    <n v="2"/>
    <x v="3"/>
    <n v="2"/>
  </r>
  <r>
    <n v="31"/>
    <x v="1"/>
    <x v="0"/>
    <n v="655"/>
    <x v="1"/>
    <x v="15"/>
    <x v="2"/>
    <s v="Life Sciences"/>
    <n v="1"/>
    <n v="76"/>
    <n v="4"/>
    <x v="1"/>
    <n v="48"/>
    <x v="0"/>
    <n v="2"/>
    <x v="2"/>
    <n v="4"/>
    <x v="2"/>
    <n v="5915"/>
    <n v="9528"/>
    <n v="3"/>
    <s v="Y"/>
    <x v="1"/>
    <n v="22"/>
    <x v="1"/>
    <n v="4"/>
    <n v="80"/>
    <x v="1"/>
    <n v="10"/>
    <x v="1"/>
    <x v="2"/>
    <n v="7"/>
    <n v="7"/>
    <x v="1"/>
    <n v="7"/>
  </r>
  <r>
    <n v="37"/>
    <x v="1"/>
    <x v="0"/>
    <n v="1115"/>
    <x v="1"/>
    <x v="0"/>
    <x v="2"/>
    <s v="Life Sciences"/>
    <n v="1"/>
    <n v="77"/>
    <n v="1"/>
    <x v="1"/>
    <n v="51"/>
    <x v="1"/>
    <n v="2"/>
    <x v="3"/>
    <n v="3"/>
    <x v="2"/>
    <n v="5993"/>
    <n v="2689"/>
    <n v="1"/>
    <s v="Y"/>
    <x v="1"/>
    <n v="18"/>
    <x v="0"/>
    <n v="3"/>
    <n v="80"/>
    <x v="1"/>
    <n v="7"/>
    <x v="2"/>
    <x v="3"/>
    <n v="7"/>
    <n v="5"/>
    <x v="0"/>
    <n v="7"/>
  </r>
  <r>
    <n v="32"/>
    <x v="1"/>
    <x v="0"/>
    <n v="427"/>
    <x v="1"/>
    <x v="0"/>
    <x v="3"/>
    <s v="Medical"/>
    <n v="1"/>
    <n v="78"/>
    <n v="1"/>
    <x v="1"/>
    <n v="33"/>
    <x v="0"/>
    <n v="2"/>
    <x v="3"/>
    <n v="4"/>
    <x v="1"/>
    <n v="6162"/>
    <n v="10877"/>
    <n v="1"/>
    <s v="Y"/>
    <x v="0"/>
    <n v="22"/>
    <x v="1"/>
    <n v="2"/>
    <n v="80"/>
    <x v="1"/>
    <n v="9"/>
    <x v="1"/>
    <x v="1"/>
    <n v="9"/>
    <n v="8"/>
    <x v="4"/>
    <n v="8"/>
  </r>
  <r>
    <n v="38"/>
    <x v="1"/>
    <x v="1"/>
    <n v="653"/>
    <x v="1"/>
    <x v="22"/>
    <x v="4"/>
    <s v="Life Sciences"/>
    <n v="1"/>
    <n v="79"/>
    <n v="4"/>
    <x v="0"/>
    <n v="50"/>
    <x v="0"/>
    <n v="2"/>
    <x v="2"/>
    <n v="4"/>
    <x v="0"/>
    <n v="2406"/>
    <n v="5456"/>
    <n v="1"/>
    <s v="Y"/>
    <x v="1"/>
    <n v="11"/>
    <x v="0"/>
    <n v="4"/>
    <n v="80"/>
    <x v="0"/>
    <n v="10"/>
    <x v="2"/>
    <x v="1"/>
    <n v="10"/>
    <n v="3"/>
    <x v="10"/>
    <n v="9"/>
  </r>
  <r>
    <n v="50"/>
    <x v="1"/>
    <x v="0"/>
    <n v="989"/>
    <x v="1"/>
    <x v="15"/>
    <x v="0"/>
    <s v="Medical"/>
    <n v="1"/>
    <n v="80"/>
    <n v="2"/>
    <x v="0"/>
    <n v="43"/>
    <x v="1"/>
    <n v="5"/>
    <x v="7"/>
    <n v="3"/>
    <x v="2"/>
    <n v="18740"/>
    <n v="16701"/>
    <n v="5"/>
    <s v="Y"/>
    <x v="0"/>
    <n v="12"/>
    <x v="0"/>
    <n v="4"/>
    <n v="80"/>
    <x v="1"/>
    <n v="29"/>
    <x v="2"/>
    <x v="2"/>
    <n v="27"/>
    <n v="3"/>
    <x v="11"/>
    <n v="8"/>
  </r>
  <r>
    <n v="59"/>
    <x v="1"/>
    <x v="0"/>
    <n v="1435"/>
    <x v="0"/>
    <x v="19"/>
    <x v="3"/>
    <s v="Life Sciences"/>
    <n v="1"/>
    <n v="81"/>
    <n v="1"/>
    <x v="0"/>
    <n v="99"/>
    <x v="0"/>
    <n v="3"/>
    <x v="0"/>
    <n v="1"/>
    <x v="0"/>
    <n v="7637"/>
    <n v="2354"/>
    <n v="7"/>
    <s v="Y"/>
    <x v="1"/>
    <n v="11"/>
    <x v="0"/>
    <n v="4"/>
    <n v="80"/>
    <x v="0"/>
    <n v="28"/>
    <x v="1"/>
    <x v="2"/>
    <n v="21"/>
    <n v="16"/>
    <x v="4"/>
    <n v="9"/>
  </r>
  <r>
    <n v="36"/>
    <x v="1"/>
    <x v="0"/>
    <n v="1223"/>
    <x v="1"/>
    <x v="1"/>
    <x v="3"/>
    <s v="Technical Degree"/>
    <n v="1"/>
    <n v="83"/>
    <n v="3"/>
    <x v="0"/>
    <n v="59"/>
    <x v="0"/>
    <n v="3"/>
    <x v="4"/>
    <n v="3"/>
    <x v="2"/>
    <n v="10096"/>
    <n v="8202"/>
    <n v="1"/>
    <s v="Y"/>
    <x v="1"/>
    <n v="13"/>
    <x v="0"/>
    <n v="2"/>
    <n v="80"/>
    <x v="2"/>
    <n v="17"/>
    <x v="2"/>
    <x v="1"/>
    <n v="17"/>
    <n v="14"/>
    <x v="12"/>
    <n v="8"/>
  </r>
  <r>
    <n v="55"/>
    <x v="1"/>
    <x v="0"/>
    <n v="836"/>
    <x v="1"/>
    <x v="1"/>
    <x v="3"/>
    <s v="Medical"/>
    <n v="1"/>
    <n v="84"/>
    <n v="4"/>
    <x v="0"/>
    <n v="33"/>
    <x v="0"/>
    <n v="4"/>
    <x v="5"/>
    <n v="3"/>
    <x v="2"/>
    <n v="14756"/>
    <n v="19730"/>
    <n v="2"/>
    <s v="Y"/>
    <x v="0"/>
    <n v="14"/>
    <x v="0"/>
    <n v="3"/>
    <n v="80"/>
    <x v="2"/>
    <n v="21"/>
    <x v="2"/>
    <x v="1"/>
    <n v="5"/>
    <n v="0"/>
    <x v="0"/>
    <n v="2"/>
  </r>
  <r>
    <n v="36"/>
    <x v="1"/>
    <x v="1"/>
    <n v="1195"/>
    <x v="1"/>
    <x v="13"/>
    <x v="3"/>
    <s v="Life Sciences"/>
    <n v="1"/>
    <n v="85"/>
    <n v="2"/>
    <x v="1"/>
    <n v="95"/>
    <x v="1"/>
    <n v="2"/>
    <x v="3"/>
    <n v="2"/>
    <x v="0"/>
    <n v="6499"/>
    <n v="22656"/>
    <n v="1"/>
    <s v="Y"/>
    <x v="1"/>
    <n v="13"/>
    <x v="0"/>
    <n v="3"/>
    <n v="80"/>
    <x v="0"/>
    <n v="6"/>
    <x v="1"/>
    <x v="1"/>
    <n v="6"/>
    <n v="5"/>
    <x v="0"/>
    <n v="3"/>
  </r>
  <r>
    <n v="45"/>
    <x v="1"/>
    <x v="0"/>
    <n v="1339"/>
    <x v="1"/>
    <x v="15"/>
    <x v="3"/>
    <s v="Life Sciences"/>
    <n v="1"/>
    <n v="86"/>
    <n v="2"/>
    <x v="1"/>
    <n v="59"/>
    <x v="0"/>
    <n v="3"/>
    <x v="1"/>
    <n v="1"/>
    <x v="2"/>
    <n v="9724"/>
    <n v="18787"/>
    <n v="2"/>
    <s v="Y"/>
    <x v="1"/>
    <n v="17"/>
    <x v="0"/>
    <n v="3"/>
    <n v="80"/>
    <x v="1"/>
    <n v="25"/>
    <x v="2"/>
    <x v="1"/>
    <n v="1"/>
    <n v="0"/>
    <x v="0"/>
    <n v="0"/>
  </r>
  <r>
    <n v="35"/>
    <x v="1"/>
    <x v="1"/>
    <n v="664"/>
    <x v="1"/>
    <x v="0"/>
    <x v="3"/>
    <s v="Medical"/>
    <n v="1"/>
    <n v="88"/>
    <n v="2"/>
    <x v="1"/>
    <n v="79"/>
    <x v="0"/>
    <n v="1"/>
    <x v="1"/>
    <n v="1"/>
    <x v="1"/>
    <n v="2194"/>
    <n v="5868"/>
    <n v="4"/>
    <s v="Y"/>
    <x v="1"/>
    <n v="13"/>
    <x v="0"/>
    <n v="4"/>
    <n v="80"/>
    <x v="1"/>
    <n v="5"/>
    <x v="2"/>
    <x v="2"/>
    <n v="3"/>
    <n v="2"/>
    <x v="1"/>
    <n v="2"/>
  </r>
  <r>
    <n v="36"/>
    <x v="0"/>
    <x v="0"/>
    <n v="318"/>
    <x v="1"/>
    <x v="14"/>
    <x v="3"/>
    <s v="Medical"/>
    <n v="1"/>
    <n v="90"/>
    <n v="4"/>
    <x v="1"/>
    <n v="79"/>
    <x v="1"/>
    <n v="1"/>
    <x v="1"/>
    <n v="3"/>
    <x v="1"/>
    <n v="3388"/>
    <n v="21777"/>
    <n v="0"/>
    <s v="Y"/>
    <x v="0"/>
    <n v="17"/>
    <x v="0"/>
    <n v="1"/>
    <n v="80"/>
    <x v="1"/>
    <n v="2"/>
    <x v="0"/>
    <x v="2"/>
    <n v="1"/>
    <n v="0"/>
    <x v="0"/>
    <n v="0"/>
  </r>
  <r>
    <n v="59"/>
    <x v="1"/>
    <x v="1"/>
    <n v="1225"/>
    <x v="0"/>
    <x v="0"/>
    <x v="1"/>
    <s v="Life Sciences"/>
    <n v="1"/>
    <n v="91"/>
    <n v="1"/>
    <x v="0"/>
    <n v="57"/>
    <x v="1"/>
    <n v="2"/>
    <x v="0"/>
    <n v="3"/>
    <x v="0"/>
    <n v="5473"/>
    <n v="24668"/>
    <n v="7"/>
    <s v="Y"/>
    <x v="1"/>
    <n v="11"/>
    <x v="0"/>
    <n v="4"/>
    <n v="80"/>
    <x v="0"/>
    <n v="20"/>
    <x v="2"/>
    <x v="2"/>
    <n v="4"/>
    <n v="3"/>
    <x v="1"/>
    <n v="3"/>
  </r>
  <r>
    <n v="29"/>
    <x v="1"/>
    <x v="0"/>
    <n v="1328"/>
    <x v="1"/>
    <x v="2"/>
    <x v="3"/>
    <s v="Life Sciences"/>
    <n v="1"/>
    <n v="94"/>
    <n v="3"/>
    <x v="1"/>
    <n v="76"/>
    <x v="0"/>
    <n v="1"/>
    <x v="1"/>
    <n v="2"/>
    <x v="1"/>
    <n v="2703"/>
    <n v="4956"/>
    <n v="0"/>
    <s v="Y"/>
    <x v="1"/>
    <n v="23"/>
    <x v="1"/>
    <n v="4"/>
    <n v="80"/>
    <x v="1"/>
    <n v="6"/>
    <x v="1"/>
    <x v="1"/>
    <n v="5"/>
    <n v="4"/>
    <x v="0"/>
    <n v="4"/>
  </r>
  <r>
    <n v="31"/>
    <x v="1"/>
    <x v="0"/>
    <n v="1082"/>
    <x v="1"/>
    <x v="0"/>
    <x v="2"/>
    <s v="Medical"/>
    <n v="1"/>
    <n v="95"/>
    <n v="3"/>
    <x v="1"/>
    <n v="87"/>
    <x v="0"/>
    <n v="1"/>
    <x v="1"/>
    <n v="2"/>
    <x v="0"/>
    <n v="2501"/>
    <n v="18775"/>
    <n v="1"/>
    <s v="Y"/>
    <x v="1"/>
    <n v="17"/>
    <x v="0"/>
    <n v="2"/>
    <n v="80"/>
    <x v="0"/>
    <n v="1"/>
    <x v="5"/>
    <x v="1"/>
    <n v="1"/>
    <n v="1"/>
    <x v="1"/>
    <n v="0"/>
  </r>
  <r>
    <n v="32"/>
    <x v="1"/>
    <x v="0"/>
    <n v="548"/>
    <x v="1"/>
    <x v="0"/>
    <x v="3"/>
    <s v="Life Sciences"/>
    <n v="1"/>
    <n v="96"/>
    <n v="2"/>
    <x v="1"/>
    <n v="66"/>
    <x v="0"/>
    <n v="2"/>
    <x v="1"/>
    <n v="2"/>
    <x v="1"/>
    <n v="6220"/>
    <n v="7346"/>
    <n v="1"/>
    <s v="Y"/>
    <x v="1"/>
    <n v="17"/>
    <x v="0"/>
    <n v="2"/>
    <n v="80"/>
    <x v="3"/>
    <n v="10"/>
    <x v="1"/>
    <x v="1"/>
    <n v="10"/>
    <n v="4"/>
    <x v="0"/>
    <n v="9"/>
  </r>
  <r>
    <n v="36"/>
    <x v="1"/>
    <x v="0"/>
    <n v="132"/>
    <x v="1"/>
    <x v="16"/>
    <x v="3"/>
    <s v="Life Sciences"/>
    <n v="1"/>
    <n v="97"/>
    <n v="2"/>
    <x v="0"/>
    <n v="55"/>
    <x v="2"/>
    <n v="1"/>
    <x v="2"/>
    <n v="4"/>
    <x v="1"/>
    <n v="3038"/>
    <n v="22002"/>
    <n v="3"/>
    <s v="Y"/>
    <x v="1"/>
    <n v="12"/>
    <x v="0"/>
    <n v="2"/>
    <n v="80"/>
    <x v="0"/>
    <n v="5"/>
    <x v="1"/>
    <x v="1"/>
    <n v="1"/>
    <n v="0"/>
    <x v="0"/>
    <n v="0"/>
  </r>
  <r>
    <n v="31"/>
    <x v="1"/>
    <x v="0"/>
    <n v="746"/>
    <x v="1"/>
    <x v="1"/>
    <x v="2"/>
    <s v="Life Sciences"/>
    <n v="1"/>
    <n v="98"/>
    <n v="3"/>
    <x v="0"/>
    <n v="61"/>
    <x v="0"/>
    <n v="2"/>
    <x v="3"/>
    <n v="4"/>
    <x v="0"/>
    <n v="4424"/>
    <n v="20682"/>
    <n v="1"/>
    <s v="Y"/>
    <x v="1"/>
    <n v="23"/>
    <x v="1"/>
    <n v="4"/>
    <n v="80"/>
    <x v="0"/>
    <n v="11"/>
    <x v="2"/>
    <x v="1"/>
    <n v="11"/>
    <n v="7"/>
    <x v="1"/>
    <n v="8"/>
  </r>
  <r>
    <n v="35"/>
    <x v="1"/>
    <x v="0"/>
    <n v="776"/>
    <x v="0"/>
    <x v="0"/>
    <x v="2"/>
    <s v="Marketing"/>
    <n v="1"/>
    <n v="100"/>
    <n v="3"/>
    <x v="1"/>
    <n v="32"/>
    <x v="1"/>
    <n v="2"/>
    <x v="0"/>
    <n v="1"/>
    <x v="0"/>
    <n v="4312"/>
    <n v="23016"/>
    <n v="0"/>
    <s v="Y"/>
    <x v="1"/>
    <n v="14"/>
    <x v="0"/>
    <n v="2"/>
    <n v="80"/>
    <x v="0"/>
    <n v="16"/>
    <x v="2"/>
    <x v="1"/>
    <n v="15"/>
    <n v="13"/>
    <x v="3"/>
    <n v="8"/>
  </r>
  <r>
    <n v="45"/>
    <x v="1"/>
    <x v="0"/>
    <n v="193"/>
    <x v="1"/>
    <x v="16"/>
    <x v="2"/>
    <s v="Other"/>
    <n v="1"/>
    <n v="101"/>
    <n v="4"/>
    <x v="1"/>
    <n v="52"/>
    <x v="0"/>
    <n v="3"/>
    <x v="7"/>
    <n v="1"/>
    <x v="1"/>
    <n v="13245"/>
    <n v="15067"/>
    <n v="4"/>
    <s v="Y"/>
    <x v="0"/>
    <n v="14"/>
    <x v="0"/>
    <n v="2"/>
    <n v="80"/>
    <x v="0"/>
    <n v="17"/>
    <x v="1"/>
    <x v="3"/>
    <n v="0"/>
    <n v="0"/>
    <x v="0"/>
    <n v="0"/>
  </r>
  <r>
    <n v="37"/>
    <x v="1"/>
    <x v="0"/>
    <n v="397"/>
    <x v="1"/>
    <x v="15"/>
    <x v="2"/>
    <s v="Medical"/>
    <n v="1"/>
    <n v="102"/>
    <n v="1"/>
    <x v="1"/>
    <n v="30"/>
    <x v="0"/>
    <n v="3"/>
    <x v="7"/>
    <n v="3"/>
    <x v="0"/>
    <n v="13664"/>
    <n v="25258"/>
    <n v="4"/>
    <s v="Y"/>
    <x v="1"/>
    <n v="13"/>
    <x v="0"/>
    <n v="1"/>
    <n v="80"/>
    <x v="0"/>
    <n v="16"/>
    <x v="1"/>
    <x v="3"/>
    <n v="5"/>
    <n v="2"/>
    <x v="0"/>
    <n v="2"/>
  </r>
  <r>
    <n v="46"/>
    <x v="1"/>
    <x v="0"/>
    <n v="945"/>
    <x v="2"/>
    <x v="12"/>
    <x v="0"/>
    <s v="Medical"/>
    <n v="1"/>
    <n v="103"/>
    <n v="2"/>
    <x v="1"/>
    <n v="80"/>
    <x v="0"/>
    <n v="2"/>
    <x v="8"/>
    <n v="2"/>
    <x v="2"/>
    <n v="5021"/>
    <n v="10425"/>
    <n v="8"/>
    <s v="Y"/>
    <x v="0"/>
    <n v="22"/>
    <x v="1"/>
    <n v="4"/>
    <n v="80"/>
    <x v="1"/>
    <n v="16"/>
    <x v="2"/>
    <x v="1"/>
    <n v="4"/>
    <n v="2"/>
    <x v="0"/>
    <n v="2"/>
  </r>
  <r>
    <n v="30"/>
    <x v="1"/>
    <x v="0"/>
    <n v="852"/>
    <x v="1"/>
    <x v="0"/>
    <x v="1"/>
    <s v="Life Sciences"/>
    <n v="1"/>
    <n v="104"/>
    <n v="4"/>
    <x v="1"/>
    <n v="55"/>
    <x v="1"/>
    <n v="2"/>
    <x v="2"/>
    <n v="4"/>
    <x v="1"/>
    <n v="5126"/>
    <n v="15998"/>
    <n v="1"/>
    <s v="Y"/>
    <x v="0"/>
    <n v="12"/>
    <x v="0"/>
    <n v="3"/>
    <n v="80"/>
    <x v="3"/>
    <n v="10"/>
    <x v="4"/>
    <x v="2"/>
    <n v="10"/>
    <n v="8"/>
    <x v="2"/>
    <n v="0"/>
  </r>
  <r>
    <n v="35"/>
    <x v="1"/>
    <x v="0"/>
    <n v="1214"/>
    <x v="1"/>
    <x v="0"/>
    <x v="3"/>
    <s v="Medical"/>
    <n v="1"/>
    <n v="105"/>
    <n v="2"/>
    <x v="1"/>
    <n v="30"/>
    <x v="1"/>
    <n v="1"/>
    <x v="1"/>
    <n v="3"/>
    <x v="0"/>
    <n v="2859"/>
    <n v="26278"/>
    <n v="1"/>
    <s v="Y"/>
    <x v="1"/>
    <n v="18"/>
    <x v="0"/>
    <n v="1"/>
    <n v="80"/>
    <x v="0"/>
    <n v="6"/>
    <x v="1"/>
    <x v="1"/>
    <n v="6"/>
    <n v="4"/>
    <x v="0"/>
    <n v="4"/>
  </r>
  <r>
    <n v="55"/>
    <x v="1"/>
    <x v="0"/>
    <n v="111"/>
    <x v="0"/>
    <x v="0"/>
    <x v="0"/>
    <s v="Life Sciences"/>
    <n v="1"/>
    <n v="106"/>
    <n v="1"/>
    <x v="1"/>
    <n v="70"/>
    <x v="0"/>
    <n v="3"/>
    <x v="0"/>
    <n v="4"/>
    <x v="1"/>
    <n v="10239"/>
    <n v="18092"/>
    <n v="3"/>
    <s v="Y"/>
    <x v="1"/>
    <n v="14"/>
    <x v="0"/>
    <n v="4"/>
    <n v="80"/>
    <x v="1"/>
    <n v="24"/>
    <x v="5"/>
    <x v="1"/>
    <n v="1"/>
    <n v="0"/>
    <x v="1"/>
    <n v="0"/>
  </r>
  <r>
    <n v="38"/>
    <x v="1"/>
    <x v="2"/>
    <n v="573"/>
    <x v="1"/>
    <x v="16"/>
    <x v="3"/>
    <s v="Medical"/>
    <n v="1"/>
    <n v="107"/>
    <n v="2"/>
    <x v="0"/>
    <n v="79"/>
    <x v="3"/>
    <n v="2"/>
    <x v="1"/>
    <n v="4"/>
    <x v="2"/>
    <n v="5329"/>
    <n v="15717"/>
    <n v="7"/>
    <s v="Y"/>
    <x v="0"/>
    <n v="12"/>
    <x v="0"/>
    <n v="4"/>
    <n v="80"/>
    <x v="2"/>
    <n v="17"/>
    <x v="1"/>
    <x v="1"/>
    <n v="13"/>
    <n v="11"/>
    <x v="1"/>
    <n v="9"/>
  </r>
  <r>
    <n v="34"/>
    <x v="1"/>
    <x v="0"/>
    <n v="1153"/>
    <x v="1"/>
    <x v="0"/>
    <x v="0"/>
    <s v="Medical"/>
    <n v="1"/>
    <n v="110"/>
    <n v="1"/>
    <x v="1"/>
    <n v="94"/>
    <x v="0"/>
    <n v="2"/>
    <x v="3"/>
    <n v="2"/>
    <x v="1"/>
    <n v="4325"/>
    <n v="17736"/>
    <n v="1"/>
    <s v="Y"/>
    <x v="1"/>
    <n v="15"/>
    <x v="0"/>
    <n v="3"/>
    <n v="80"/>
    <x v="0"/>
    <n v="5"/>
    <x v="2"/>
    <x v="1"/>
    <n v="5"/>
    <n v="2"/>
    <x v="1"/>
    <n v="3"/>
  </r>
  <r>
    <n v="56"/>
    <x v="1"/>
    <x v="0"/>
    <n v="1400"/>
    <x v="1"/>
    <x v="15"/>
    <x v="3"/>
    <s v="Life Sciences"/>
    <n v="1"/>
    <n v="112"/>
    <n v="4"/>
    <x v="1"/>
    <n v="49"/>
    <x v="3"/>
    <n v="3"/>
    <x v="3"/>
    <n v="4"/>
    <x v="0"/>
    <n v="7260"/>
    <n v="21698"/>
    <n v="4"/>
    <s v="Y"/>
    <x v="1"/>
    <n v="11"/>
    <x v="0"/>
    <n v="1"/>
    <n v="80"/>
    <x v="0"/>
    <n v="37"/>
    <x v="1"/>
    <x v="2"/>
    <n v="6"/>
    <n v="4"/>
    <x v="0"/>
    <n v="2"/>
  </r>
  <r>
    <n v="23"/>
    <x v="1"/>
    <x v="0"/>
    <n v="541"/>
    <x v="0"/>
    <x v="2"/>
    <x v="1"/>
    <s v="Technical Degree"/>
    <n v="1"/>
    <n v="113"/>
    <n v="3"/>
    <x v="1"/>
    <n v="62"/>
    <x v="0"/>
    <n v="1"/>
    <x v="6"/>
    <n v="1"/>
    <x v="2"/>
    <n v="2322"/>
    <n v="9518"/>
    <n v="3"/>
    <s v="Y"/>
    <x v="1"/>
    <n v="13"/>
    <x v="0"/>
    <n v="3"/>
    <n v="80"/>
    <x v="1"/>
    <n v="3"/>
    <x v="1"/>
    <x v="1"/>
    <n v="0"/>
    <n v="0"/>
    <x v="0"/>
    <n v="0"/>
  </r>
  <r>
    <n v="51"/>
    <x v="1"/>
    <x v="0"/>
    <n v="432"/>
    <x v="1"/>
    <x v="14"/>
    <x v="2"/>
    <s v="Life Sciences"/>
    <n v="1"/>
    <n v="116"/>
    <n v="4"/>
    <x v="1"/>
    <n v="96"/>
    <x v="0"/>
    <n v="1"/>
    <x v="2"/>
    <n v="4"/>
    <x v="1"/>
    <n v="2075"/>
    <n v="18725"/>
    <n v="3"/>
    <s v="Y"/>
    <x v="1"/>
    <n v="23"/>
    <x v="1"/>
    <n v="2"/>
    <n v="80"/>
    <x v="3"/>
    <n v="10"/>
    <x v="5"/>
    <x v="1"/>
    <n v="4"/>
    <n v="2"/>
    <x v="0"/>
    <n v="3"/>
  </r>
  <r>
    <n v="30"/>
    <x v="1"/>
    <x v="0"/>
    <n v="288"/>
    <x v="1"/>
    <x v="2"/>
    <x v="3"/>
    <s v="Life Sciences"/>
    <n v="1"/>
    <n v="117"/>
    <n v="3"/>
    <x v="1"/>
    <n v="99"/>
    <x v="1"/>
    <n v="2"/>
    <x v="4"/>
    <n v="4"/>
    <x v="1"/>
    <n v="4152"/>
    <n v="15830"/>
    <n v="1"/>
    <s v="Y"/>
    <x v="1"/>
    <n v="19"/>
    <x v="0"/>
    <n v="1"/>
    <n v="80"/>
    <x v="2"/>
    <n v="11"/>
    <x v="1"/>
    <x v="1"/>
    <n v="11"/>
    <n v="10"/>
    <x v="13"/>
    <n v="8"/>
  </r>
  <r>
    <n v="46"/>
    <x v="0"/>
    <x v="0"/>
    <n v="669"/>
    <x v="0"/>
    <x v="14"/>
    <x v="0"/>
    <s v="Medical"/>
    <n v="1"/>
    <n v="118"/>
    <n v="3"/>
    <x v="1"/>
    <n v="64"/>
    <x v="1"/>
    <n v="3"/>
    <x v="0"/>
    <n v="4"/>
    <x v="0"/>
    <n v="9619"/>
    <n v="13596"/>
    <n v="1"/>
    <s v="Y"/>
    <x v="1"/>
    <n v="16"/>
    <x v="0"/>
    <n v="4"/>
    <n v="80"/>
    <x v="0"/>
    <n v="9"/>
    <x v="1"/>
    <x v="1"/>
    <n v="9"/>
    <n v="8"/>
    <x v="5"/>
    <n v="7"/>
  </r>
  <r>
    <n v="40"/>
    <x v="1"/>
    <x v="1"/>
    <n v="530"/>
    <x v="1"/>
    <x v="0"/>
    <x v="2"/>
    <s v="Life Sciences"/>
    <n v="1"/>
    <n v="119"/>
    <n v="3"/>
    <x v="1"/>
    <n v="78"/>
    <x v="1"/>
    <n v="4"/>
    <x v="4"/>
    <n v="2"/>
    <x v="1"/>
    <n v="13503"/>
    <n v="14115"/>
    <n v="1"/>
    <s v="Y"/>
    <x v="1"/>
    <n v="22"/>
    <x v="1"/>
    <n v="4"/>
    <n v="80"/>
    <x v="1"/>
    <n v="22"/>
    <x v="1"/>
    <x v="2"/>
    <n v="22"/>
    <n v="3"/>
    <x v="14"/>
    <n v="11"/>
  </r>
  <r>
    <n v="51"/>
    <x v="1"/>
    <x v="0"/>
    <n v="632"/>
    <x v="0"/>
    <x v="11"/>
    <x v="2"/>
    <s v="Marketing"/>
    <n v="1"/>
    <n v="120"/>
    <n v="3"/>
    <x v="1"/>
    <n v="71"/>
    <x v="0"/>
    <n v="2"/>
    <x v="0"/>
    <n v="4"/>
    <x v="0"/>
    <n v="5441"/>
    <n v="8423"/>
    <n v="0"/>
    <s v="Y"/>
    <x v="0"/>
    <n v="22"/>
    <x v="1"/>
    <n v="4"/>
    <n v="80"/>
    <x v="0"/>
    <n v="11"/>
    <x v="2"/>
    <x v="0"/>
    <n v="10"/>
    <n v="7"/>
    <x v="1"/>
    <n v="0"/>
  </r>
  <r>
    <n v="30"/>
    <x v="1"/>
    <x v="0"/>
    <n v="1334"/>
    <x v="0"/>
    <x v="18"/>
    <x v="0"/>
    <s v="Medical"/>
    <n v="1"/>
    <n v="121"/>
    <n v="3"/>
    <x v="0"/>
    <n v="63"/>
    <x v="1"/>
    <n v="2"/>
    <x v="0"/>
    <n v="2"/>
    <x v="2"/>
    <n v="5209"/>
    <n v="19760"/>
    <n v="1"/>
    <s v="Y"/>
    <x v="0"/>
    <n v="12"/>
    <x v="0"/>
    <n v="2"/>
    <n v="80"/>
    <x v="2"/>
    <n v="11"/>
    <x v="5"/>
    <x v="2"/>
    <n v="11"/>
    <n v="8"/>
    <x v="3"/>
    <n v="7"/>
  </r>
  <r>
    <n v="46"/>
    <x v="1"/>
    <x v="1"/>
    <n v="638"/>
    <x v="1"/>
    <x v="0"/>
    <x v="3"/>
    <s v="Medical"/>
    <n v="1"/>
    <n v="124"/>
    <n v="3"/>
    <x v="1"/>
    <n v="40"/>
    <x v="1"/>
    <n v="3"/>
    <x v="4"/>
    <n v="1"/>
    <x v="1"/>
    <n v="10673"/>
    <n v="3142"/>
    <n v="2"/>
    <s v="Y"/>
    <x v="0"/>
    <n v="13"/>
    <x v="0"/>
    <n v="3"/>
    <n v="80"/>
    <x v="1"/>
    <n v="21"/>
    <x v="3"/>
    <x v="2"/>
    <n v="10"/>
    <n v="9"/>
    <x v="10"/>
    <n v="5"/>
  </r>
  <r>
    <n v="32"/>
    <x v="1"/>
    <x v="0"/>
    <n v="1093"/>
    <x v="0"/>
    <x v="16"/>
    <x v="2"/>
    <s v="Medical"/>
    <n v="1"/>
    <n v="125"/>
    <n v="2"/>
    <x v="1"/>
    <n v="87"/>
    <x v="0"/>
    <n v="2"/>
    <x v="0"/>
    <n v="3"/>
    <x v="0"/>
    <n v="5010"/>
    <n v="24301"/>
    <n v="1"/>
    <s v="Y"/>
    <x v="1"/>
    <n v="16"/>
    <x v="0"/>
    <n v="1"/>
    <n v="80"/>
    <x v="0"/>
    <n v="12"/>
    <x v="0"/>
    <x v="1"/>
    <n v="11"/>
    <n v="8"/>
    <x v="8"/>
    <n v="7"/>
  </r>
  <r>
    <n v="54"/>
    <x v="1"/>
    <x v="0"/>
    <n v="1217"/>
    <x v="1"/>
    <x v="2"/>
    <x v="2"/>
    <s v="Technical Degree"/>
    <n v="1"/>
    <n v="126"/>
    <n v="1"/>
    <x v="0"/>
    <n v="60"/>
    <x v="0"/>
    <n v="3"/>
    <x v="7"/>
    <n v="3"/>
    <x v="1"/>
    <n v="13549"/>
    <n v="24001"/>
    <n v="9"/>
    <s v="Y"/>
    <x v="1"/>
    <n v="12"/>
    <x v="0"/>
    <n v="1"/>
    <n v="80"/>
    <x v="1"/>
    <n v="16"/>
    <x v="3"/>
    <x v="0"/>
    <n v="4"/>
    <n v="3"/>
    <x v="0"/>
    <n v="3"/>
  </r>
  <r>
    <n v="24"/>
    <x v="1"/>
    <x v="0"/>
    <n v="1353"/>
    <x v="0"/>
    <x v="3"/>
    <x v="0"/>
    <s v="Other"/>
    <n v="1"/>
    <n v="128"/>
    <n v="1"/>
    <x v="0"/>
    <n v="33"/>
    <x v="0"/>
    <n v="2"/>
    <x v="0"/>
    <n v="3"/>
    <x v="1"/>
    <n v="4999"/>
    <n v="17519"/>
    <n v="0"/>
    <s v="Y"/>
    <x v="1"/>
    <n v="21"/>
    <x v="1"/>
    <n v="1"/>
    <n v="80"/>
    <x v="1"/>
    <n v="4"/>
    <x v="2"/>
    <x v="2"/>
    <n v="3"/>
    <n v="2"/>
    <x v="0"/>
    <n v="2"/>
  </r>
  <r>
    <n v="28"/>
    <x v="1"/>
    <x v="2"/>
    <n v="120"/>
    <x v="0"/>
    <x v="18"/>
    <x v="3"/>
    <s v="Medical"/>
    <n v="1"/>
    <n v="129"/>
    <n v="2"/>
    <x v="1"/>
    <n v="43"/>
    <x v="0"/>
    <n v="2"/>
    <x v="0"/>
    <n v="3"/>
    <x v="1"/>
    <n v="4221"/>
    <n v="8863"/>
    <n v="1"/>
    <s v="Y"/>
    <x v="1"/>
    <n v="15"/>
    <x v="0"/>
    <n v="2"/>
    <n v="80"/>
    <x v="0"/>
    <n v="5"/>
    <x v="1"/>
    <x v="3"/>
    <n v="5"/>
    <n v="4"/>
    <x v="0"/>
    <n v="4"/>
  </r>
  <r>
    <n v="58"/>
    <x v="1"/>
    <x v="0"/>
    <n v="682"/>
    <x v="0"/>
    <x v="17"/>
    <x v="2"/>
    <s v="Medical"/>
    <n v="1"/>
    <n v="131"/>
    <n v="4"/>
    <x v="1"/>
    <n v="37"/>
    <x v="0"/>
    <n v="4"/>
    <x v="0"/>
    <n v="3"/>
    <x v="0"/>
    <n v="13872"/>
    <n v="24409"/>
    <n v="0"/>
    <s v="Y"/>
    <x v="1"/>
    <n v="13"/>
    <x v="0"/>
    <n v="3"/>
    <n v="80"/>
    <x v="0"/>
    <n v="38"/>
    <x v="4"/>
    <x v="2"/>
    <n v="37"/>
    <n v="10"/>
    <x v="1"/>
    <n v="8"/>
  </r>
  <r>
    <n v="44"/>
    <x v="1"/>
    <x v="2"/>
    <n v="489"/>
    <x v="1"/>
    <x v="5"/>
    <x v="3"/>
    <s v="Medical"/>
    <n v="1"/>
    <n v="132"/>
    <n v="2"/>
    <x v="1"/>
    <n v="67"/>
    <x v="0"/>
    <n v="2"/>
    <x v="2"/>
    <n v="2"/>
    <x v="1"/>
    <n v="2042"/>
    <n v="25043"/>
    <n v="4"/>
    <s v="Y"/>
    <x v="1"/>
    <n v="12"/>
    <x v="0"/>
    <n v="3"/>
    <n v="80"/>
    <x v="1"/>
    <n v="17"/>
    <x v="1"/>
    <x v="3"/>
    <n v="3"/>
    <n v="2"/>
    <x v="1"/>
    <n v="2"/>
  </r>
  <r>
    <n v="37"/>
    <x v="0"/>
    <x v="0"/>
    <n v="807"/>
    <x v="2"/>
    <x v="16"/>
    <x v="2"/>
    <s v="Human Resources"/>
    <n v="1"/>
    <n v="133"/>
    <n v="3"/>
    <x v="1"/>
    <n v="63"/>
    <x v="0"/>
    <n v="1"/>
    <x v="8"/>
    <n v="1"/>
    <x v="2"/>
    <n v="2073"/>
    <n v="23648"/>
    <n v="4"/>
    <s v="Y"/>
    <x v="0"/>
    <n v="22"/>
    <x v="1"/>
    <n v="4"/>
    <n v="80"/>
    <x v="0"/>
    <n v="7"/>
    <x v="1"/>
    <x v="1"/>
    <n v="3"/>
    <n v="2"/>
    <x v="0"/>
    <n v="2"/>
  </r>
  <r>
    <n v="32"/>
    <x v="1"/>
    <x v="0"/>
    <n v="827"/>
    <x v="1"/>
    <x v="0"/>
    <x v="1"/>
    <s v="Life Sciences"/>
    <n v="1"/>
    <n v="134"/>
    <n v="4"/>
    <x v="1"/>
    <n v="71"/>
    <x v="0"/>
    <n v="1"/>
    <x v="1"/>
    <n v="1"/>
    <x v="0"/>
    <n v="2956"/>
    <n v="15178"/>
    <n v="1"/>
    <s v="Y"/>
    <x v="1"/>
    <n v="13"/>
    <x v="0"/>
    <n v="4"/>
    <n v="80"/>
    <x v="0"/>
    <n v="1"/>
    <x v="2"/>
    <x v="1"/>
    <n v="1"/>
    <n v="0"/>
    <x v="0"/>
    <n v="0"/>
  </r>
  <r>
    <n v="20"/>
    <x v="0"/>
    <x v="1"/>
    <n v="871"/>
    <x v="1"/>
    <x v="16"/>
    <x v="3"/>
    <s v="Life Sciences"/>
    <n v="1"/>
    <n v="137"/>
    <n v="4"/>
    <x v="0"/>
    <n v="66"/>
    <x v="1"/>
    <n v="1"/>
    <x v="2"/>
    <n v="4"/>
    <x v="0"/>
    <n v="2926"/>
    <n v="19783"/>
    <n v="1"/>
    <s v="Y"/>
    <x v="0"/>
    <n v="18"/>
    <x v="0"/>
    <n v="2"/>
    <n v="80"/>
    <x v="0"/>
    <n v="1"/>
    <x v="3"/>
    <x v="1"/>
    <n v="1"/>
    <n v="0"/>
    <x v="1"/>
    <n v="0"/>
  </r>
  <r>
    <n v="34"/>
    <x v="1"/>
    <x v="0"/>
    <n v="665"/>
    <x v="1"/>
    <x v="16"/>
    <x v="2"/>
    <s v="Other"/>
    <n v="1"/>
    <n v="138"/>
    <n v="1"/>
    <x v="0"/>
    <n v="41"/>
    <x v="0"/>
    <n v="2"/>
    <x v="1"/>
    <n v="3"/>
    <x v="0"/>
    <n v="4809"/>
    <n v="12482"/>
    <n v="1"/>
    <s v="Y"/>
    <x v="1"/>
    <n v="14"/>
    <x v="0"/>
    <n v="3"/>
    <n v="80"/>
    <x v="0"/>
    <n v="16"/>
    <x v="1"/>
    <x v="1"/>
    <n v="16"/>
    <n v="13"/>
    <x v="3"/>
    <n v="10"/>
  </r>
  <r>
    <n v="37"/>
    <x v="1"/>
    <x v="2"/>
    <n v="1040"/>
    <x v="1"/>
    <x v="2"/>
    <x v="0"/>
    <s v="Life Sciences"/>
    <n v="1"/>
    <n v="139"/>
    <n v="3"/>
    <x v="1"/>
    <n v="100"/>
    <x v="1"/>
    <n v="2"/>
    <x v="4"/>
    <n v="4"/>
    <x v="2"/>
    <n v="5163"/>
    <n v="15850"/>
    <n v="5"/>
    <s v="Y"/>
    <x v="1"/>
    <n v="14"/>
    <x v="0"/>
    <n v="4"/>
    <n v="80"/>
    <x v="1"/>
    <n v="17"/>
    <x v="2"/>
    <x v="3"/>
    <n v="1"/>
    <n v="0"/>
    <x v="0"/>
    <n v="0"/>
  </r>
  <r>
    <n v="59"/>
    <x v="1"/>
    <x v="2"/>
    <n v="1420"/>
    <x v="2"/>
    <x v="2"/>
    <x v="2"/>
    <s v="Human Resources"/>
    <n v="1"/>
    <n v="140"/>
    <n v="3"/>
    <x v="0"/>
    <n v="32"/>
    <x v="1"/>
    <n v="5"/>
    <x v="5"/>
    <n v="4"/>
    <x v="1"/>
    <n v="18844"/>
    <n v="21922"/>
    <n v="9"/>
    <s v="Y"/>
    <x v="1"/>
    <n v="21"/>
    <x v="1"/>
    <n v="4"/>
    <n v="80"/>
    <x v="1"/>
    <n v="30"/>
    <x v="1"/>
    <x v="1"/>
    <n v="3"/>
    <n v="2"/>
    <x v="3"/>
    <n v="2"/>
  </r>
  <r>
    <n v="50"/>
    <x v="1"/>
    <x v="1"/>
    <n v="1115"/>
    <x v="1"/>
    <x v="0"/>
    <x v="3"/>
    <s v="Life Sciences"/>
    <n v="1"/>
    <n v="141"/>
    <n v="1"/>
    <x v="0"/>
    <n v="73"/>
    <x v="0"/>
    <n v="5"/>
    <x v="7"/>
    <n v="2"/>
    <x v="1"/>
    <n v="18172"/>
    <n v="9755"/>
    <n v="3"/>
    <s v="Y"/>
    <x v="0"/>
    <n v="19"/>
    <x v="0"/>
    <n v="1"/>
    <n v="80"/>
    <x v="0"/>
    <n v="28"/>
    <x v="4"/>
    <x v="2"/>
    <n v="8"/>
    <n v="3"/>
    <x v="0"/>
    <n v="7"/>
  </r>
  <r>
    <n v="25"/>
    <x v="0"/>
    <x v="0"/>
    <n v="240"/>
    <x v="0"/>
    <x v="12"/>
    <x v="3"/>
    <s v="Marketing"/>
    <n v="1"/>
    <n v="142"/>
    <n v="3"/>
    <x v="1"/>
    <n v="46"/>
    <x v="1"/>
    <n v="2"/>
    <x v="0"/>
    <n v="3"/>
    <x v="0"/>
    <n v="5744"/>
    <n v="26959"/>
    <n v="1"/>
    <s v="Y"/>
    <x v="0"/>
    <n v="11"/>
    <x v="0"/>
    <n v="4"/>
    <n v="80"/>
    <x v="0"/>
    <n v="6"/>
    <x v="4"/>
    <x v="1"/>
    <n v="6"/>
    <n v="4"/>
    <x v="0"/>
    <n v="3"/>
  </r>
  <r>
    <n v="25"/>
    <x v="1"/>
    <x v="0"/>
    <n v="1280"/>
    <x v="1"/>
    <x v="15"/>
    <x v="1"/>
    <s v="Medical"/>
    <n v="1"/>
    <n v="143"/>
    <n v="4"/>
    <x v="1"/>
    <n v="64"/>
    <x v="1"/>
    <n v="1"/>
    <x v="1"/>
    <n v="4"/>
    <x v="1"/>
    <n v="2889"/>
    <n v="26897"/>
    <n v="1"/>
    <s v="Y"/>
    <x v="1"/>
    <n v="11"/>
    <x v="0"/>
    <n v="3"/>
    <n v="80"/>
    <x v="3"/>
    <n v="2"/>
    <x v="2"/>
    <x v="1"/>
    <n v="2"/>
    <n v="2"/>
    <x v="3"/>
    <n v="1"/>
  </r>
  <r>
    <n v="22"/>
    <x v="1"/>
    <x v="0"/>
    <n v="534"/>
    <x v="1"/>
    <x v="8"/>
    <x v="3"/>
    <s v="Medical"/>
    <n v="1"/>
    <n v="144"/>
    <n v="2"/>
    <x v="0"/>
    <n v="59"/>
    <x v="0"/>
    <n v="1"/>
    <x v="2"/>
    <n v="4"/>
    <x v="0"/>
    <n v="2871"/>
    <n v="23785"/>
    <n v="1"/>
    <s v="Y"/>
    <x v="1"/>
    <n v="15"/>
    <x v="0"/>
    <n v="3"/>
    <n v="80"/>
    <x v="0"/>
    <n v="1"/>
    <x v="3"/>
    <x v="1"/>
    <n v="0"/>
    <n v="0"/>
    <x v="0"/>
    <n v="0"/>
  </r>
  <r>
    <n v="51"/>
    <x v="1"/>
    <x v="1"/>
    <n v="1456"/>
    <x v="1"/>
    <x v="0"/>
    <x v="2"/>
    <s v="Medical"/>
    <n v="1"/>
    <n v="145"/>
    <n v="1"/>
    <x v="0"/>
    <n v="30"/>
    <x v="1"/>
    <n v="3"/>
    <x v="4"/>
    <n v="1"/>
    <x v="0"/>
    <n v="7484"/>
    <n v="25796"/>
    <n v="3"/>
    <s v="Y"/>
    <x v="1"/>
    <n v="20"/>
    <x v="1"/>
    <n v="3"/>
    <n v="80"/>
    <x v="0"/>
    <n v="23"/>
    <x v="4"/>
    <x v="2"/>
    <n v="13"/>
    <n v="12"/>
    <x v="12"/>
    <n v="8"/>
  </r>
  <r>
    <n v="34"/>
    <x v="0"/>
    <x v="1"/>
    <n v="658"/>
    <x v="1"/>
    <x v="15"/>
    <x v="3"/>
    <s v="Life Sciences"/>
    <n v="1"/>
    <n v="147"/>
    <n v="1"/>
    <x v="1"/>
    <n v="66"/>
    <x v="3"/>
    <n v="2"/>
    <x v="2"/>
    <n v="3"/>
    <x v="0"/>
    <n v="6074"/>
    <n v="22887"/>
    <n v="1"/>
    <s v="Y"/>
    <x v="0"/>
    <n v="24"/>
    <x v="1"/>
    <n v="4"/>
    <n v="80"/>
    <x v="0"/>
    <n v="9"/>
    <x v="1"/>
    <x v="1"/>
    <n v="9"/>
    <n v="7"/>
    <x v="0"/>
    <n v="6"/>
  </r>
  <r>
    <n v="54"/>
    <x v="1"/>
    <x v="2"/>
    <n v="142"/>
    <x v="2"/>
    <x v="9"/>
    <x v="3"/>
    <s v="Human Resources"/>
    <n v="1"/>
    <n v="148"/>
    <n v="4"/>
    <x v="0"/>
    <n v="30"/>
    <x v="2"/>
    <n v="4"/>
    <x v="5"/>
    <n v="4"/>
    <x v="0"/>
    <n v="17328"/>
    <n v="13871"/>
    <n v="2"/>
    <s v="Y"/>
    <x v="0"/>
    <n v="12"/>
    <x v="0"/>
    <n v="3"/>
    <n v="80"/>
    <x v="0"/>
    <n v="23"/>
    <x v="1"/>
    <x v="1"/>
    <n v="5"/>
    <n v="3"/>
    <x v="5"/>
    <n v="4"/>
  </r>
  <r>
    <n v="24"/>
    <x v="1"/>
    <x v="0"/>
    <n v="1127"/>
    <x v="1"/>
    <x v="21"/>
    <x v="1"/>
    <s v="Life Sciences"/>
    <n v="1"/>
    <n v="150"/>
    <n v="2"/>
    <x v="1"/>
    <n v="52"/>
    <x v="0"/>
    <n v="1"/>
    <x v="2"/>
    <n v="3"/>
    <x v="1"/>
    <n v="2774"/>
    <n v="13257"/>
    <n v="0"/>
    <s v="Y"/>
    <x v="1"/>
    <n v="12"/>
    <x v="0"/>
    <n v="3"/>
    <n v="80"/>
    <x v="1"/>
    <n v="6"/>
    <x v="2"/>
    <x v="1"/>
    <n v="5"/>
    <n v="3"/>
    <x v="1"/>
    <n v="2"/>
  </r>
  <r>
    <n v="34"/>
    <x v="1"/>
    <x v="0"/>
    <n v="1031"/>
    <x v="1"/>
    <x v="16"/>
    <x v="2"/>
    <s v="Life Sciences"/>
    <n v="1"/>
    <n v="151"/>
    <n v="3"/>
    <x v="0"/>
    <n v="45"/>
    <x v="1"/>
    <n v="2"/>
    <x v="1"/>
    <n v="2"/>
    <x v="2"/>
    <n v="4505"/>
    <n v="15000"/>
    <n v="6"/>
    <s v="Y"/>
    <x v="1"/>
    <n v="15"/>
    <x v="0"/>
    <n v="3"/>
    <n v="80"/>
    <x v="1"/>
    <n v="12"/>
    <x v="1"/>
    <x v="1"/>
    <n v="1"/>
    <n v="0"/>
    <x v="0"/>
    <n v="0"/>
  </r>
  <r>
    <n v="37"/>
    <x v="1"/>
    <x v="0"/>
    <n v="1189"/>
    <x v="0"/>
    <x v="3"/>
    <x v="3"/>
    <s v="Life Sciences"/>
    <n v="1"/>
    <n v="152"/>
    <n v="3"/>
    <x v="1"/>
    <n v="87"/>
    <x v="0"/>
    <n v="3"/>
    <x v="0"/>
    <n v="4"/>
    <x v="0"/>
    <n v="7428"/>
    <n v="14506"/>
    <n v="2"/>
    <s v="Y"/>
    <x v="1"/>
    <n v="12"/>
    <x v="0"/>
    <n v="1"/>
    <n v="80"/>
    <x v="0"/>
    <n v="12"/>
    <x v="1"/>
    <x v="1"/>
    <n v="5"/>
    <n v="3"/>
    <x v="1"/>
    <n v="3"/>
  </r>
  <r>
    <n v="34"/>
    <x v="1"/>
    <x v="0"/>
    <n v="1354"/>
    <x v="1"/>
    <x v="12"/>
    <x v="3"/>
    <s v="Medical"/>
    <n v="1"/>
    <n v="153"/>
    <n v="3"/>
    <x v="0"/>
    <n v="45"/>
    <x v="1"/>
    <n v="3"/>
    <x v="5"/>
    <n v="1"/>
    <x v="0"/>
    <n v="11631"/>
    <n v="5615"/>
    <n v="2"/>
    <s v="Y"/>
    <x v="1"/>
    <n v="12"/>
    <x v="0"/>
    <n v="4"/>
    <n v="80"/>
    <x v="0"/>
    <n v="14"/>
    <x v="6"/>
    <x v="1"/>
    <n v="11"/>
    <n v="10"/>
    <x v="8"/>
    <n v="8"/>
  </r>
  <r>
    <n v="36"/>
    <x v="1"/>
    <x v="1"/>
    <n v="1467"/>
    <x v="0"/>
    <x v="13"/>
    <x v="0"/>
    <s v="Technical Degree"/>
    <n v="1"/>
    <n v="154"/>
    <n v="2"/>
    <x v="0"/>
    <n v="92"/>
    <x v="0"/>
    <n v="3"/>
    <x v="0"/>
    <n v="4"/>
    <x v="1"/>
    <n v="9738"/>
    <n v="22952"/>
    <n v="0"/>
    <s v="Y"/>
    <x v="1"/>
    <n v="14"/>
    <x v="0"/>
    <n v="3"/>
    <n v="80"/>
    <x v="1"/>
    <n v="10"/>
    <x v="6"/>
    <x v="1"/>
    <n v="9"/>
    <n v="7"/>
    <x v="3"/>
    <n v="8"/>
  </r>
  <r>
    <n v="36"/>
    <x v="1"/>
    <x v="0"/>
    <n v="922"/>
    <x v="1"/>
    <x v="3"/>
    <x v="0"/>
    <s v="Life Sciences"/>
    <n v="1"/>
    <n v="155"/>
    <n v="1"/>
    <x v="0"/>
    <n v="39"/>
    <x v="0"/>
    <n v="1"/>
    <x v="2"/>
    <n v="4"/>
    <x v="2"/>
    <n v="2835"/>
    <n v="2561"/>
    <n v="5"/>
    <s v="Y"/>
    <x v="1"/>
    <n v="22"/>
    <x v="1"/>
    <n v="1"/>
    <n v="80"/>
    <x v="1"/>
    <n v="7"/>
    <x v="2"/>
    <x v="1"/>
    <n v="1"/>
    <n v="0"/>
    <x v="0"/>
    <n v="0"/>
  </r>
  <r>
    <n v="43"/>
    <x v="1"/>
    <x v="1"/>
    <n v="394"/>
    <x v="0"/>
    <x v="9"/>
    <x v="0"/>
    <s v="Life Sciences"/>
    <n v="1"/>
    <n v="158"/>
    <n v="3"/>
    <x v="1"/>
    <n v="92"/>
    <x v="0"/>
    <n v="4"/>
    <x v="5"/>
    <n v="4"/>
    <x v="1"/>
    <n v="16959"/>
    <n v="19494"/>
    <n v="1"/>
    <s v="Y"/>
    <x v="0"/>
    <n v="12"/>
    <x v="0"/>
    <n v="4"/>
    <n v="80"/>
    <x v="3"/>
    <n v="25"/>
    <x v="1"/>
    <x v="3"/>
    <n v="25"/>
    <n v="12"/>
    <x v="5"/>
    <n v="12"/>
  </r>
  <r>
    <n v="30"/>
    <x v="1"/>
    <x v="1"/>
    <n v="1312"/>
    <x v="1"/>
    <x v="5"/>
    <x v="3"/>
    <s v="Life Sciences"/>
    <n v="1"/>
    <n v="159"/>
    <n v="1"/>
    <x v="1"/>
    <n v="96"/>
    <x v="3"/>
    <n v="1"/>
    <x v="1"/>
    <n v="3"/>
    <x v="2"/>
    <n v="2613"/>
    <n v="22310"/>
    <n v="1"/>
    <s v="Y"/>
    <x v="1"/>
    <n v="25"/>
    <x v="1"/>
    <n v="3"/>
    <n v="80"/>
    <x v="2"/>
    <n v="10"/>
    <x v="2"/>
    <x v="2"/>
    <n v="10"/>
    <n v="7"/>
    <x v="0"/>
    <n v="9"/>
  </r>
  <r>
    <n v="33"/>
    <x v="1"/>
    <x v="2"/>
    <n v="750"/>
    <x v="0"/>
    <x v="23"/>
    <x v="0"/>
    <s v="Marketing"/>
    <n v="1"/>
    <n v="160"/>
    <n v="3"/>
    <x v="1"/>
    <n v="95"/>
    <x v="0"/>
    <n v="2"/>
    <x v="0"/>
    <n v="2"/>
    <x v="1"/>
    <n v="6146"/>
    <n v="15480"/>
    <n v="0"/>
    <s v="Y"/>
    <x v="1"/>
    <n v="13"/>
    <x v="0"/>
    <n v="1"/>
    <n v="80"/>
    <x v="1"/>
    <n v="8"/>
    <x v="2"/>
    <x v="3"/>
    <n v="7"/>
    <n v="7"/>
    <x v="0"/>
    <n v="7"/>
  </r>
  <r>
    <n v="56"/>
    <x v="0"/>
    <x v="0"/>
    <n v="441"/>
    <x v="1"/>
    <x v="24"/>
    <x v="2"/>
    <s v="Life Sciences"/>
    <n v="1"/>
    <n v="161"/>
    <n v="2"/>
    <x v="0"/>
    <n v="72"/>
    <x v="0"/>
    <n v="1"/>
    <x v="1"/>
    <n v="2"/>
    <x v="1"/>
    <n v="4963"/>
    <n v="4510"/>
    <n v="9"/>
    <s v="Y"/>
    <x v="0"/>
    <n v="18"/>
    <x v="0"/>
    <n v="1"/>
    <n v="80"/>
    <x v="2"/>
    <n v="7"/>
    <x v="2"/>
    <x v="1"/>
    <n v="5"/>
    <n v="4"/>
    <x v="5"/>
    <n v="3"/>
  </r>
  <r>
    <n v="51"/>
    <x v="1"/>
    <x v="0"/>
    <n v="684"/>
    <x v="1"/>
    <x v="16"/>
    <x v="3"/>
    <s v="Life Sciences"/>
    <n v="1"/>
    <n v="162"/>
    <n v="1"/>
    <x v="1"/>
    <n v="51"/>
    <x v="0"/>
    <n v="5"/>
    <x v="7"/>
    <n v="3"/>
    <x v="0"/>
    <n v="19537"/>
    <n v="6462"/>
    <n v="7"/>
    <s v="Y"/>
    <x v="1"/>
    <n v="13"/>
    <x v="0"/>
    <n v="3"/>
    <n v="80"/>
    <x v="0"/>
    <n v="23"/>
    <x v="3"/>
    <x v="1"/>
    <n v="20"/>
    <n v="18"/>
    <x v="9"/>
    <n v="15"/>
  </r>
  <r>
    <n v="31"/>
    <x v="0"/>
    <x v="0"/>
    <n v="249"/>
    <x v="0"/>
    <x v="16"/>
    <x v="2"/>
    <s v="Life Sciences"/>
    <n v="1"/>
    <n v="163"/>
    <n v="2"/>
    <x v="1"/>
    <n v="76"/>
    <x v="3"/>
    <n v="2"/>
    <x v="0"/>
    <n v="3"/>
    <x v="1"/>
    <n v="6172"/>
    <n v="20739"/>
    <n v="4"/>
    <s v="Y"/>
    <x v="0"/>
    <n v="18"/>
    <x v="0"/>
    <n v="2"/>
    <n v="80"/>
    <x v="0"/>
    <n v="12"/>
    <x v="1"/>
    <x v="2"/>
    <n v="7"/>
    <n v="7"/>
    <x v="4"/>
    <n v="7"/>
  </r>
  <r>
    <n v="26"/>
    <x v="1"/>
    <x v="0"/>
    <n v="841"/>
    <x v="1"/>
    <x v="16"/>
    <x v="3"/>
    <s v="Other"/>
    <n v="1"/>
    <n v="164"/>
    <n v="3"/>
    <x v="0"/>
    <n v="46"/>
    <x v="1"/>
    <n v="1"/>
    <x v="1"/>
    <n v="2"/>
    <x v="1"/>
    <n v="2368"/>
    <n v="23300"/>
    <n v="1"/>
    <s v="Y"/>
    <x v="1"/>
    <n v="19"/>
    <x v="0"/>
    <n v="3"/>
    <n v="80"/>
    <x v="0"/>
    <n v="5"/>
    <x v="1"/>
    <x v="2"/>
    <n v="5"/>
    <n v="4"/>
    <x v="5"/>
    <n v="3"/>
  </r>
  <r>
    <n v="58"/>
    <x v="0"/>
    <x v="0"/>
    <n v="147"/>
    <x v="1"/>
    <x v="5"/>
    <x v="2"/>
    <s v="Medical"/>
    <n v="1"/>
    <n v="165"/>
    <n v="4"/>
    <x v="0"/>
    <n v="94"/>
    <x v="0"/>
    <n v="3"/>
    <x v="4"/>
    <n v="4"/>
    <x v="1"/>
    <n v="10312"/>
    <n v="3465"/>
    <n v="1"/>
    <s v="Y"/>
    <x v="1"/>
    <n v="12"/>
    <x v="0"/>
    <n v="4"/>
    <n v="80"/>
    <x v="1"/>
    <n v="40"/>
    <x v="1"/>
    <x v="2"/>
    <n v="40"/>
    <n v="10"/>
    <x v="9"/>
    <n v="6"/>
  </r>
  <r>
    <n v="19"/>
    <x v="0"/>
    <x v="0"/>
    <n v="528"/>
    <x v="0"/>
    <x v="23"/>
    <x v="1"/>
    <s v="Marketing"/>
    <n v="1"/>
    <n v="167"/>
    <n v="4"/>
    <x v="1"/>
    <n v="50"/>
    <x v="0"/>
    <n v="1"/>
    <x v="6"/>
    <n v="3"/>
    <x v="0"/>
    <n v="1675"/>
    <n v="26820"/>
    <n v="1"/>
    <s v="Y"/>
    <x v="0"/>
    <n v="19"/>
    <x v="0"/>
    <n v="4"/>
    <n v="80"/>
    <x v="0"/>
    <n v="0"/>
    <x v="2"/>
    <x v="2"/>
    <n v="0"/>
    <n v="0"/>
    <x v="0"/>
    <n v="0"/>
  </r>
  <r>
    <n v="22"/>
    <x v="1"/>
    <x v="0"/>
    <n v="594"/>
    <x v="1"/>
    <x v="2"/>
    <x v="1"/>
    <s v="Technical Degree"/>
    <n v="1"/>
    <n v="169"/>
    <n v="3"/>
    <x v="1"/>
    <n v="100"/>
    <x v="0"/>
    <n v="1"/>
    <x v="2"/>
    <n v="4"/>
    <x v="1"/>
    <n v="2523"/>
    <n v="19299"/>
    <n v="0"/>
    <s v="Y"/>
    <x v="1"/>
    <n v="14"/>
    <x v="0"/>
    <n v="3"/>
    <n v="80"/>
    <x v="1"/>
    <n v="3"/>
    <x v="2"/>
    <x v="1"/>
    <n v="2"/>
    <n v="1"/>
    <x v="3"/>
    <n v="1"/>
  </r>
  <r>
    <n v="49"/>
    <x v="1"/>
    <x v="0"/>
    <n v="470"/>
    <x v="1"/>
    <x v="25"/>
    <x v="2"/>
    <s v="Medical"/>
    <n v="1"/>
    <n v="170"/>
    <n v="3"/>
    <x v="0"/>
    <n v="96"/>
    <x v="0"/>
    <n v="2"/>
    <x v="3"/>
    <n v="1"/>
    <x v="1"/>
    <n v="6567"/>
    <n v="5549"/>
    <n v="1"/>
    <s v="Y"/>
    <x v="1"/>
    <n v="14"/>
    <x v="0"/>
    <n v="3"/>
    <n v="80"/>
    <x v="0"/>
    <n v="16"/>
    <x v="2"/>
    <x v="2"/>
    <n v="15"/>
    <n v="11"/>
    <x v="8"/>
    <n v="11"/>
  </r>
  <r>
    <n v="43"/>
    <x v="1"/>
    <x v="1"/>
    <n v="957"/>
    <x v="1"/>
    <x v="26"/>
    <x v="3"/>
    <s v="Medical"/>
    <n v="1"/>
    <n v="171"/>
    <n v="2"/>
    <x v="0"/>
    <n v="72"/>
    <x v="2"/>
    <n v="1"/>
    <x v="1"/>
    <n v="3"/>
    <x v="0"/>
    <n v="4739"/>
    <n v="16090"/>
    <n v="4"/>
    <s v="Y"/>
    <x v="1"/>
    <n v="12"/>
    <x v="0"/>
    <n v="4"/>
    <n v="80"/>
    <x v="0"/>
    <n v="18"/>
    <x v="2"/>
    <x v="1"/>
    <n v="3"/>
    <n v="2"/>
    <x v="1"/>
    <n v="2"/>
  </r>
  <r>
    <n v="50"/>
    <x v="1"/>
    <x v="1"/>
    <n v="809"/>
    <x v="0"/>
    <x v="20"/>
    <x v="3"/>
    <s v="Marketing"/>
    <n v="1"/>
    <n v="174"/>
    <n v="3"/>
    <x v="0"/>
    <n v="77"/>
    <x v="0"/>
    <n v="3"/>
    <x v="0"/>
    <n v="4"/>
    <x v="0"/>
    <n v="9208"/>
    <n v="6645"/>
    <n v="4"/>
    <s v="Y"/>
    <x v="1"/>
    <n v="11"/>
    <x v="0"/>
    <n v="4"/>
    <n v="80"/>
    <x v="0"/>
    <n v="16"/>
    <x v="1"/>
    <x v="1"/>
    <n v="2"/>
    <n v="2"/>
    <x v="3"/>
    <n v="1"/>
  </r>
  <r>
    <n v="31"/>
    <x v="0"/>
    <x v="0"/>
    <n v="542"/>
    <x v="0"/>
    <x v="25"/>
    <x v="3"/>
    <s v="Life Sciences"/>
    <n v="1"/>
    <n v="175"/>
    <n v="2"/>
    <x v="0"/>
    <n v="71"/>
    <x v="3"/>
    <n v="2"/>
    <x v="0"/>
    <n v="3"/>
    <x v="1"/>
    <n v="4559"/>
    <n v="24788"/>
    <n v="3"/>
    <s v="Y"/>
    <x v="0"/>
    <n v="11"/>
    <x v="0"/>
    <n v="3"/>
    <n v="80"/>
    <x v="1"/>
    <n v="4"/>
    <x v="2"/>
    <x v="1"/>
    <n v="2"/>
    <n v="2"/>
    <x v="3"/>
    <n v="2"/>
  </r>
  <r>
    <n v="41"/>
    <x v="1"/>
    <x v="0"/>
    <n v="802"/>
    <x v="0"/>
    <x v="14"/>
    <x v="1"/>
    <s v="Life Sciences"/>
    <n v="1"/>
    <n v="176"/>
    <n v="3"/>
    <x v="1"/>
    <n v="96"/>
    <x v="0"/>
    <n v="3"/>
    <x v="0"/>
    <n v="3"/>
    <x v="2"/>
    <n v="8189"/>
    <n v="21196"/>
    <n v="3"/>
    <s v="Y"/>
    <x v="0"/>
    <n v="13"/>
    <x v="0"/>
    <n v="3"/>
    <n v="80"/>
    <x v="1"/>
    <n v="12"/>
    <x v="2"/>
    <x v="1"/>
    <n v="9"/>
    <n v="7"/>
    <x v="0"/>
    <n v="7"/>
  </r>
  <r>
    <n v="26"/>
    <x v="1"/>
    <x v="0"/>
    <n v="1355"/>
    <x v="2"/>
    <x v="19"/>
    <x v="1"/>
    <s v="Life Sciences"/>
    <n v="1"/>
    <n v="177"/>
    <n v="3"/>
    <x v="0"/>
    <n v="61"/>
    <x v="0"/>
    <n v="1"/>
    <x v="8"/>
    <n v="3"/>
    <x v="1"/>
    <n v="2942"/>
    <n v="8916"/>
    <n v="1"/>
    <s v="Y"/>
    <x v="1"/>
    <n v="23"/>
    <x v="1"/>
    <n v="4"/>
    <n v="80"/>
    <x v="1"/>
    <n v="8"/>
    <x v="1"/>
    <x v="1"/>
    <n v="8"/>
    <n v="7"/>
    <x v="8"/>
    <n v="7"/>
  </r>
  <r>
    <n v="36"/>
    <x v="1"/>
    <x v="0"/>
    <n v="216"/>
    <x v="1"/>
    <x v="16"/>
    <x v="0"/>
    <s v="Medical"/>
    <n v="1"/>
    <n v="178"/>
    <n v="2"/>
    <x v="1"/>
    <n v="84"/>
    <x v="0"/>
    <n v="2"/>
    <x v="3"/>
    <n v="2"/>
    <x v="2"/>
    <n v="4941"/>
    <n v="2819"/>
    <n v="6"/>
    <s v="Y"/>
    <x v="1"/>
    <n v="20"/>
    <x v="1"/>
    <n v="4"/>
    <n v="80"/>
    <x v="3"/>
    <n v="7"/>
    <x v="0"/>
    <x v="1"/>
    <n v="3"/>
    <n v="2"/>
    <x v="0"/>
    <n v="1"/>
  </r>
  <r>
    <n v="51"/>
    <x v="0"/>
    <x v="1"/>
    <n v="1150"/>
    <x v="1"/>
    <x v="1"/>
    <x v="2"/>
    <s v="Life Sciences"/>
    <n v="1"/>
    <n v="179"/>
    <n v="1"/>
    <x v="1"/>
    <n v="53"/>
    <x v="3"/>
    <n v="3"/>
    <x v="3"/>
    <n v="4"/>
    <x v="0"/>
    <n v="10650"/>
    <n v="25150"/>
    <n v="2"/>
    <s v="Y"/>
    <x v="1"/>
    <n v="15"/>
    <x v="0"/>
    <n v="4"/>
    <n v="80"/>
    <x v="0"/>
    <n v="18"/>
    <x v="2"/>
    <x v="1"/>
    <n v="4"/>
    <n v="2"/>
    <x v="0"/>
    <n v="3"/>
  </r>
  <r>
    <n v="39"/>
    <x v="1"/>
    <x v="0"/>
    <n v="1329"/>
    <x v="0"/>
    <x v="18"/>
    <x v="2"/>
    <s v="Life Sciences"/>
    <n v="1"/>
    <n v="182"/>
    <n v="4"/>
    <x v="0"/>
    <n v="47"/>
    <x v="1"/>
    <n v="2"/>
    <x v="0"/>
    <n v="3"/>
    <x v="1"/>
    <n v="5902"/>
    <n v="14590"/>
    <n v="4"/>
    <s v="Y"/>
    <x v="1"/>
    <n v="14"/>
    <x v="0"/>
    <n v="3"/>
    <n v="80"/>
    <x v="1"/>
    <n v="17"/>
    <x v="4"/>
    <x v="3"/>
    <n v="15"/>
    <n v="11"/>
    <x v="8"/>
    <n v="9"/>
  </r>
  <r>
    <n v="25"/>
    <x v="1"/>
    <x v="0"/>
    <n v="959"/>
    <x v="0"/>
    <x v="26"/>
    <x v="3"/>
    <s v="Life Sciences"/>
    <n v="1"/>
    <n v="183"/>
    <n v="1"/>
    <x v="1"/>
    <n v="41"/>
    <x v="1"/>
    <n v="2"/>
    <x v="0"/>
    <n v="3"/>
    <x v="1"/>
    <n v="8639"/>
    <n v="24835"/>
    <n v="2"/>
    <s v="Y"/>
    <x v="1"/>
    <n v="18"/>
    <x v="0"/>
    <n v="4"/>
    <n v="80"/>
    <x v="0"/>
    <n v="6"/>
    <x v="1"/>
    <x v="1"/>
    <n v="2"/>
    <n v="2"/>
    <x v="3"/>
    <n v="2"/>
  </r>
  <r>
    <n v="30"/>
    <x v="1"/>
    <x v="0"/>
    <n v="1240"/>
    <x v="2"/>
    <x v="14"/>
    <x v="3"/>
    <s v="Human Resources"/>
    <n v="1"/>
    <n v="184"/>
    <n v="3"/>
    <x v="1"/>
    <n v="48"/>
    <x v="0"/>
    <n v="2"/>
    <x v="8"/>
    <n v="4"/>
    <x v="1"/>
    <n v="6347"/>
    <n v="13982"/>
    <n v="0"/>
    <s v="Y"/>
    <x v="0"/>
    <n v="19"/>
    <x v="0"/>
    <n v="4"/>
    <n v="80"/>
    <x v="0"/>
    <n v="12"/>
    <x v="2"/>
    <x v="0"/>
    <n v="11"/>
    <n v="9"/>
    <x v="5"/>
    <n v="7"/>
  </r>
  <r>
    <n v="32"/>
    <x v="0"/>
    <x v="0"/>
    <n v="1033"/>
    <x v="1"/>
    <x v="14"/>
    <x v="3"/>
    <s v="Medical"/>
    <n v="1"/>
    <n v="190"/>
    <n v="1"/>
    <x v="0"/>
    <n v="41"/>
    <x v="0"/>
    <n v="1"/>
    <x v="2"/>
    <n v="1"/>
    <x v="0"/>
    <n v="4200"/>
    <n v="10224"/>
    <n v="7"/>
    <s v="Y"/>
    <x v="1"/>
    <n v="22"/>
    <x v="1"/>
    <n v="1"/>
    <n v="80"/>
    <x v="0"/>
    <n v="10"/>
    <x v="2"/>
    <x v="3"/>
    <n v="5"/>
    <n v="4"/>
    <x v="0"/>
    <n v="4"/>
  </r>
  <r>
    <n v="45"/>
    <x v="1"/>
    <x v="0"/>
    <n v="1316"/>
    <x v="1"/>
    <x v="22"/>
    <x v="3"/>
    <s v="Medical"/>
    <n v="1"/>
    <n v="192"/>
    <n v="3"/>
    <x v="1"/>
    <n v="83"/>
    <x v="0"/>
    <n v="1"/>
    <x v="1"/>
    <n v="4"/>
    <x v="0"/>
    <n v="3452"/>
    <n v="9752"/>
    <n v="5"/>
    <s v="Y"/>
    <x v="1"/>
    <n v="13"/>
    <x v="0"/>
    <n v="2"/>
    <n v="80"/>
    <x v="0"/>
    <n v="9"/>
    <x v="2"/>
    <x v="2"/>
    <n v="6"/>
    <n v="5"/>
    <x v="0"/>
    <n v="3"/>
  </r>
  <r>
    <n v="38"/>
    <x v="1"/>
    <x v="0"/>
    <n v="364"/>
    <x v="1"/>
    <x v="3"/>
    <x v="4"/>
    <s v="Technical Degree"/>
    <n v="1"/>
    <n v="193"/>
    <n v="4"/>
    <x v="0"/>
    <n v="32"/>
    <x v="0"/>
    <n v="2"/>
    <x v="1"/>
    <n v="3"/>
    <x v="0"/>
    <n v="4317"/>
    <n v="2302"/>
    <n v="3"/>
    <s v="Y"/>
    <x v="0"/>
    <n v="20"/>
    <x v="1"/>
    <n v="2"/>
    <n v="80"/>
    <x v="0"/>
    <n v="19"/>
    <x v="2"/>
    <x v="1"/>
    <n v="3"/>
    <n v="2"/>
    <x v="3"/>
    <n v="2"/>
  </r>
  <r>
    <n v="30"/>
    <x v="1"/>
    <x v="0"/>
    <n v="438"/>
    <x v="1"/>
    <x v="21"/>
    <x v="3"/>
    <s v="Life Sciences"/>
    <n v="1"/>
    <n v="194"/>
    <n v="1"/>
    <x v="0"/>
    <n v="75"/>
    <x v="0"/>
    <n v="1"/>
    <x v="1"/>
    <n v="3"/>
    <x v="0"/>
    <n v="2632"/>
    <n v="23910"/>
    <n v="1"/>
    <s v="Y"/>
    <x v="1"/>
    <n v="14"/>
    <x v="0"/>
    <n v="3"/>
    <n v="80"/>
    <x v="0"/>
    <n v="5"/>
    <x v="5"/>
    <x v="2"/>
    <n v="5"/>
    <n v="4"/>
    <x v="0"/>
    <n v="4"/>
  </r>
  <r>
    <n v="32"/>
    <x v="1"/>
    <x v="1"/>
    <n v="689"/>
    <x v="0"/>
    <x v="14"/>
    <x v="0"/>
    <s v="Medical"/>
    <n v="1"/>
    <n v="195"/>
    <n v="4"/>
    <x v="1"/>
    <n v="35"/>
    <x v="3"/>
    <n v="2"/>
    <x v="0"/>
    <n v="4"/>
    <x v="2"/>
    <n v="4668"/>
    <n v="22812"/>
    <n v="0"/>
    <s v="Y"/>
    <x v="1"/>
    <n v="17"/>
    <x v="0"/>
    <n v="4"/>
    <n v="80"/>
    <x v="2"/>
    <n v="9"/>
    <x v="2"/>
    <x v="3"/>
    <n v="8"/>
    <n v="7"/>
    <x v="0"/>
    <n v="7"/>
  </r>
  <r>
    <n v="30"/>
    <x v="1"/>
    <x v="0"/>
    <n v="201"/>
    <x v="1"/>
    <x v="12"/>
    <x v="3"/>
    <s v="Technical Degree"/>
    <n v="1"/>
    <n v="197"/>
    <n v="4"/>
    <x v="0"/>
    <n v="84"/>
    <x v="0"/>
    <n v="1"/>
    <x v="1"/>
    <n v="1"/>
    <x v="2"/>
    <n v="3204"/>
    <n v="10415"/>
    <n v="5"/>
    <s v="Y"/>
    <x v="1"/>
    <n v="14"/>
    <x v="0"/>
    <n v="4"/>
    <n v="80"/>
    <x v="1"/>
    <n v="8"/>
    <x v="1"/>
    <x v="1"/>
    <n v="3"/>
    <n v="2"/>
    <x v="3"/>
    <n v="2"/>
  </r>
  <r>
    <n v="30"/>
    <x v="1"/>
    <x v="0"/>
    <n v="1427"/>
    <x v="1"/>
    <x v="2"/>
    <x v="1"/>
    <s v="Medical"/>
    <n v="1"/>
    <n v="198"/>
    <n v="2"/>
    <x v="1"/>
    <n v="35"/>
    <x v="1"/>
    <n v="1"/>
    <x v="2"/>
    <n v="4"/>
    <x v="0"/>
    <n v="2720"/>
    <n v="11162"/>
    <n v="0"/>
    <s v="Y"/>
    <x v="1"/>
    <n v="13"/>
    <x v="0"/>
    <n v="4"/>
    <n v="80"/>
    <x v="0"/>
    <n v="6"/>
    <x v="1"/>
    <x v="1"/>
    <n v="5"/>
    <n v="3"/>
    <x v="1"/>
    <n v="2"/>
  </r>
  <r>
    <n v="41"/>
    <x v="1"/>
    <x v="1"/>
    <n v="857"/>
    <x v="1"/>
    <x v="17"/>
    <x v="3"/>
    <s v="Life Sciences"/>
    <n v="1"/>
    <n v="199"/>
    <n v="4"/>
    <x v="1"/>
    <n v="91"/>
    <x v="1"/>
    <n v="4"/>
    <x v="5"/>
    <n v="1"/>
    <x v="2"/>
    <n v="17181"/>
    <n v="12888"/>
    <n v="4"/>
    <s v="Y"/>
    <x v="1"/>
    <n v="13"/>
    <x v="0"/>
    <n v="2"/>
    <n v="80"/>
    <x v="1"/>
    <n v="21"/>
    <x v="2"/>
    <x v="2"/>
    <n v="7"/>
    <n v="6"/>
    <x v="4"/>
    <n v="7"/>
  </r>
  <r>
    <n v="41"/>
    <x v="1"/>
    <x v="0"/>
    <n v="933"/>
    <x v="1"/>
    <x v="14"/>
    <x v="2"/>
    <s v="Life Sciences"/>
    <n v="1"/>
    <n v="200"/>
    <n v="3"/>
    <x v="1"/>
    <n v="94"/>
    <x v="0"/>
    <n v="1"/>
    <x v="2"/>
    <n v="1"/>
    <x v="1"/>
    <n v="2238"/>
    <n v="6961"/>
    <n v="2"/>
    <s v="Y"/>
    <x v="1"/>
    <n v="21"/>
    <x v="1"/>
    <n v="4"/>
    <n v="80"/>
    <x v="1"/>
    <n v="7"/>
    <x v="2"/>
    <x v="1"/>
    <n v="5"/>
    <n v="0"/>
    <x v="1"/>
    <n v="4"/>
  </r>
  <r>
    <n v="19"/>
    <x v="1"/>
    <x v="0"/>
    <n v="1181"/>
    <x v="1"/>
    <x v="3"/>
    <x v="1"/>
    <s v="Medical"/>
    <n v="1"/>
    <n v="201"/>
    <n v="2"/>
    <x v="0"/>
    <n v="79"/>
    <x v="0"/>
    <n v="1"/>
    <x v="2"/>
    <n v="2"/>
    <x v="0"/>
    <n v="1483"/>
    <n v="16102"/>
    <n v="1"/>
    <s v="Y"/>
    <x v="1"/>
    <n v="14"/>
    <x v="0"/>
    <n v="4"/>
    <n v="80"/>
    <x v="0"/>
    <n v="1"/>
    <x v="1"/>
    <x v="1"/>
    <n v="1"/>
    <n v="0"/>
    <x v="0"/>
    <n v="0"/>
  </r>
  <r>
    <n v="40"/>
    <x v="1"/>
    <x v="1"/>
    <n v="1395"/>
    <x v="1"/>
    <x v="9"/>
    <x v="3"/>
    <s v="Medical"/>
    <n v="1"/>
    <n v="202"/>
    <n v="2"/>
    <x v="0"/>
    <n v="54"/>
    <x v="0"/>
    <n v="2"/>
    <x v="1"/>
    <n v="2"/>
    <x v="2"/>
    <n v="5605"/>
    <n v="8504"/>
    <n v="1"/>
    <s v="Y"/>
    <x v="1"/>
    <n v="11"/>
    <x v="0"/>
    <n v="1"/>
    <n v="80"/>
    <x v="1"/>
    <n v="20"/>
    <x v="2"/>
    <x v="1"/>
    <n v="20"/>
    <n v="7"/>
    <x v="3"/>
    <n v="13"/>
  </r>
  <r>
    <n v="35"/>
    <x v="1"/>
    <x v="0"/>
    <n v="662"/>
    <x v="0"/>
    <x v="0"/>
    <x v="4"/>
    <s v="Marketing"/>
    <n v="1"/>
    <n v="204"/>
    <n v="3"/>
    <x v="1"/>
    <n v="94"/>
    <x v="0"/>
    <n v="3"/>
    <x v="0"/>
    <n v="2"/>
    <x v="1"/>
    <n v="7295"/>
    <n v="11439"/>
    <n v="1"/>
    <s v="Y"/>
    <x v="1"/>
    <n v="13"/>
    <x v="0"/>
    <n v="1"/>
    <n v="80"/>
    <x v="3"/>
    <n v="10"/>
    <x v="1"/>
    <x v="1"/>
    <n v="10"/>
    <n v="8"/>
    <x v="0"/>
    <n v="6"/>
  </r>
  <r>
    <n v="53"/>
    <x v="1"/>
    <x v="0"/>
    <n v="1436"/>
    <x v="0"/>
    <x v="16"/>
    <x v="0"/>
    <s v="Marketing"/>
    <n v="1"/>
    <n v="205"/>
    <n v="2"/>
    <x v="1"/>
    <n v="34"/>
    <x v="0"/>
    <n v="2"/>
    <x v="6"/>
    <n v="3"/>
    <x v="1"/>
    <n v="2306"/>
    <n v="16047"/>
    <n v="2"/>
    <s v="Y"/>
    <x v="0"/>
    <n v="20"/>
    <x v="1"/>
    <n v="4"/>
    <n v="80"/>
    <x v="1"/>
    <n v="13"/>
    <x v="1"/>
    <x v="0"/>
    <n v="7"/>
    <n v="7"/>
    <x v="5"/>
    <n v="5"/>
  </r>
  <r>
    <n v="45"/>
    <x v="1"/>
    <x v="0"/>
    <n v="194"/>
    <x v="1"/>
    <x v="14"/>
    <x v="3"/>
    <s v="Life Sciences"/>
    <n v="1"/>
    <n v="206"/>
    <n v="2"/>
    <x v="1"/>
    <n v="60"/>
    <x v="0"/>
    <n v="2"/>
    <x v="2"/>
    <n v="2"/>
    <x v="2"/>
    <n v="2348"/>
    <n v="10901"/>
    <n v="8"/>
    <s v="Y"/>
    <x v="1"/>
    <n v="18"/>
    <x v="0"/>
    <n v="3"/>
    <n v="80"/>
    <x v="1"/>
    <n v="20"/>
    <x v="2"/>
    <x v="0"/>
    <n v="17"/>
    <n v="9"/>
    <x v="0"/>
    <n v="15"/>
  </r>
  <r>
    <n v="32"/>
    <x v="1"/>
    <x v="1"/>
    <n v="967"/>
    <x v="0"/>
    <x v="1"/>
    <x v="3"/>
    <s v="Marketing"/>
    <n v="1"/>
    <n v="207"/>
    <n v="2"/>
    <x v="0"/>
    <n v="43"/>
    <x v="0"/>
    <n v="3"/>
    <x v="0"/>
    <n v="4"/>
    <x v="0"/>
    <n v="8998"/>
    <n v="15589"/>
    <n v="1"/>
    <s v="Y"/>
    <x v="1"/>
    <n v="14"/>
    <x v="0"/>
    <n v="4"/>
    <n v="80"/>
    <x v="0"/>
    <n v="9"/>
    <x v="2"/>
    <x v="1"/>
    <n v="9"/>
    <n v="8"/>
    <x v="2"/>
    <n v="7"/>
  </r>
  <r>
    <n v="29"/>
    <x v="1"/>
    <x v="2"/>
    <n v="1496"/>
    <x v="1"/>
    <x v="0"/>
    <x v="1"/>
    <s v="Technical Degree"/>
    <n v="1"/>
    <n v="208"/>
    <n v="4"/>
    <x v="1"/>
    <n v="41"/>
    <x v="0"/>
    <n v="2"/>
    <x v="3"/>
    <n v="3"/>
    <x v="1"/>
    <n v="4319"/>
    <n v="26283"/>
    <n v="1"/>
    <s v="Y"/>
    <x v="1"/>
    <n v="13"/>
    <x v="0"/>
    <n v="1"/>
    <n v="80"/>
    <x v="1"/>
    <n v="10"/>
    <x v="4"/>
    <x v="1"/>
    <n v="10"/>
    <n v="7"/>
    <x v="0"/>
    <n v="9"/>
  </r>
  <r>
    <n v="51"/>
    <x v="1"/>
    <x v="0"/>
    <n v="1169"/>
    <x v="1"/>
    <x v="15"/>
    <x v="2"/>
    <s v="Medical"/>
    <n v="1"/>
    <n v="211"/>
    <n v="2"/>
    <x v="1"/>
    <n v="34"/>
    <x v="1"/>
    <n v="2"/>
    <x v="3"/>
    <n v="3"/>
    <x v="1"/>
    <n v="6132"/>
    <n v="13983"/>
    <n v="2"/>
    <s v="Y"/>
    <x v="1"/>
    <n v="17"/>
    <x v="0"/>
    <n v="3"/>
    <n v="80"/>
    <x v="0"/>
    <n v="10"/>
    <x v="2"/>
    <x v="1"/>
    <n v="1"/>
    <n v="0"/>
    <x v="0"/>
    <n v="0"/>
  </r>
  <r>
    <n v="58"/>
    <x v="1"/>
    <x v="0"/>
    <n v="1145"/>
    <x v="1"/>
    <x v="14"/>
    <x v="3"/>
    <s v="Medical"/>
    <n v="1"/>
    <n v="214"/>
    <n v="2"/>
    <x v="0"/>
    <n v="75"/>
    <x v="1"/>
    <n v="1"/>
    <x v="1"/>
    <n v="2"/>
    <x v="1"/>
    <n v="3346"/>
    <n v="11873"/>
    <n v="4"/>
    <s v="Y"/>
    <x v="0"/>
    <n v="20"/>
    <x v="1"/>
    <n v="2"/>
    <n v="80"/>
    <x v="1"/>
    <n v="9"/>
    <x v="1"/>
    <x v="2"/>
    <n v="1"/>
    <n v="0"/>
    <x v="0"/>
    <n v="0"/>
  </r>
  <r>
    <n v="40"/>
    <x v="1"/>
    <x v="0"/>
    <n v="630"/>
    <x v="0"/>
    <x v="18"/>
    <x v="2"/>
    <s v="Marketing"/>
    <n v="1"/>
    <n v="215"/>
    <n v="3"/>
    <x v="1"/>
    <n v="67"/>
    <x v="1"/>
    <n v="3"/>
    <x v="0"/>
    <n v="4"/>
    <x v="1"/>
    <n v="10855"/>
    <n v="8552"/>
    <n v="7"/>
    <s v="Y"/>
    <x v="1"/>
    <n v="11"/>
    <x v="0"/>
    <n v="1"/>
    <n v="80"/>
    <x v="1"/>
    <n v="15"/>
    <x v="2"/>
    <x v="2"/>
    <n v="12"/>
    <n v="11"/>
    <x v="3"/>
    <n v="11"/>
  </r>
  <r>
    <n v="34"/>
    <x v="1"/>
    <x v="1"/>
    <n v="303"/>
    <x v="0"/>
    <x v="2"/>
    <x v="2"/>
    <s v="Marketing"/>
    <n v="1"/>
    <n v="216"/>
    <n v="3"/>
    <x v="0"/>
    <n v="75"/>
    <x v="0"/>
    <n v="1"/>
    <x v="6"/>
    <n v="3"/>
    <x v="1"/>
    <n v="2231"/>
    <n v="11314"/>
    <n v="6"/>
    <s v="Y"/>
    <x v="1"/>
    <n v="18"/>
    <x v="0"/>
    <n v="4"/>
    <n v="80"/>
    <x v="1"/>
    <n v="6"/>
    <x v="1"/>
    <x v="1"/>
    <n v="4"/>
    <n v="3"/>
    <x v="1"/>
    <n v="2"/>
  </r>
  <r>
    <n v="22"/>
    <x v="1"/>
    <x v="0"/>
    <n v="1256"/>
    <x v="1"/>
    <x v="10"/>
    <x v="1"/>
    <s v="Medical"/>
    <n v="1"/>
    <n v="217"/>
    <n v="3"/>
    <x v="1"/>
    <n v="80"/>
    <x v="0"/>
    <n v="1"/>
    <x v="1"/>
    <n v="4"/>
    <x v="1"/>
    <n v="2323"/>
    <n v="11992"/>
    <n v="1"/>
    <s v="Y"/>
    <x v="1"/>
    <n v="24"/>
    <x v="1"/>
    <n v="1"/>
    <n v="80"/>
    <x v="3"/>
    <n v="2"/>
    <x v="6"/>
    <x v="1"/>
    <n v="2"/>
    <n v="2"/>
    <x v="3"/>
    <n v="2"/>
  </r>
  <r>
    <n v="27"/>
    <x v="1"/>
    <x v="2"/>
    <n v="691"/>
    <x v="1"/>
    <x v="14"/>
    <x v="3"/>
    <s v="Medical"/>
    <n v="1"/>
    <n v="218"/>
    <n v="4"/>
    <x v="1"/>
    <n v="57"/>
    <x v="0"/>
    <n v="1"/>
    <x v="1"/>
    <n v="2"/>
    <x v="2"/>
    <n v="2024"/>
    <n v="5970"/>
    <n v="6"/>
    <s v="Y"/>
    <x v="1"/>
    <n v="18"/>
    <x v="0"/>
    <n v="4"/>
    <n v="80"/>
    <x v="1"/>
    <n v="6"/>
    <x v="4"/>
    <x v="0"/>
    <n v="2"/>
    <n v="2"/>
    <x v="3"/>
    <n v="2"/>
  </r>
  <r>
    <n v="28"/>
    <x v="1"/>
    <x v="0"/>
    <n v="440"/>
    <x v="1"/>
    <x v="11"/>
    <x v="3"/>
    <s v="Medical"/>
    <n v="1"/>
    <n v="221"/>
    <n v="3"/>
    <x v="1"/>
    <n v="42"/>
    <x v="0"/>
    <n v="1"/>
    <x v="1"/>
    <n v="4"/>
    <x v="1"/>
    <n v="2713"/>
    <n v="6672"/>
    <n v="1"/>
    <s v="Y"/>
    <x v="1"/>
    <n v="11"/>
    <x v="0"/>
    <n v="3"/>
    <n v="80"/>
    <x v="1"/>
    <n v="5"/>
    <x v="2"/>
    <x v="0"/>
    <n v="5"/>
    <n v="2"/>
    <x v="0"/>
    <n v="2"/>
  </r>
  <r>
    <n v="57"/>
    <x v="1"/>
    <x v="0"/>
    <n v="334"/>
    <x v="1"/>
    <x v="4"/>
    <x v="0"/>
    <s v="Life Sciences"/>
    <n v="1"/>
    <n v="223"/>
    <n v="3"/>
    <x v="1"/>
    <n v="83"/>
    <x v="2"/>
    <n v="3"/>
    <x v="4"/>
    <n v="4"/>
    <x v="2"/>
    <n v="9439"/>
    <n v="23402"/>
    <n v="3"/>
    <s v="Y"/>
    <x v="0"/>
    <n v="16"/>
    <x v="0"/>
    <n v="2"/>
    <n v="80"/>
    <x v="1"/>
    <n v="12"/>
    <x v="2"/>
    <x v="0"/>
    <n v="5"/>
    <n v="3"/>
    <x v="1"/>
    <n v="4"/>
  </r>
  <r>
    <n v="27"/>
    <x v="1"/>
    <x v="2"/>
    <n v="1450"/>
    <x v="1"/>
    <x v="3"/>
    <x v="3"/>
    <s v="Medical"/>
    <n v="1"/>
    <n v="224"/>
    <n v="3"/>
    <x v="1"/>
    <n v="79"/>
    <x v="1"/>
    <n v="1"/>
    <x v="1"/>
    <n v="3"/>
    <x v="2"/>
    <n v="2566"/>
    <n v="25326"/>
    <n v="1"/>
    <s v="Y"/>
    <x v="0"/>
    <n v="15"/>
    <x v="0"/>
    <n v="4"/>
    <n v="80"/>
    <x v="1"/>
    <n v="1"/>
    <x v="2"/>
    <x v="2"/>
    <n v="1"/>
    <n v="1"/>
    <x v="0"/>
    <n v="1"/>
  </r>
  <r>
    <n v="50"/>
    <x v="1"/>
    <x v="0"/>
    <n v="1452"/>
    <x v="1"/>
    <x v="13"/>
    <x v="3"/>
    <s v="Life Sciences"/>
    <n v="1"/>
    <n v="226"/>
    <n v="3"/>
    <x v="0"/>
    <n v="53"/>
    <x v="0"/>
    <n v="5"/>
    <x v="5"/>
    <n v="2"/>
    <x v="0"/>
    <n v="19926"/>
    <n v="17053"/>
    <n v="3"/>
    <s v="Y"/>
    <x v="1"/>
    <n v="15"/>
    <x v="0"/>
    <n v="2"/>
    <n v="80"/>
    <x v="0"/>
    <n v="21"/>
    <x v="3"/>
    <x v="1"/>
    <n v="5"/>
    <n v="4"/>
    <x v="5"/>
    <n v="4"/>
  </r>
  <r>
    <n v="41"/>
    <x v="1"/>
    <x v="0"/>
    <n v="465"/>
    <x v="1"/>
    <x v="24"/>
    <x v="3"/>
    <s v="Life Sciences"/>
    <n v="1"/>
    <n v="227"/>
    <n v="1"/>
    <x v="1"/>
    <n v="56"/>
    <x v="0"/>
    <n v="1"/>
    <x v="1"/>
    <n v="3"/>
    <x v="2"/>
    <n v="2451"/>
    <n v="4609"/>
    <n v="4"/>
    <s v="Y"/>
    <x v="1"/>
    <n v="12"/>
    <x v="0"/>
    <n v="1"/>
    <n v="80"/>
    <x v="1"/>
    <n v="13"/>
    <x v="2"/>
    <x v="1"/>
    <n v="9"/>
    <n v="8"/>
    <x v="1"/>
    <n v="8"/>
  </r>
  <r>
    <n v="30"/>
    <x v="1"/>
    <x v="0"/>
    <n v="1339"/>
    <x v="0"/>
    <x v="12"/>
    <x v="3"/>
    <s v="Life Sciences"/>
    <n v="1"/>
    <n v="228"/>
    <n v="2"/>
    <x v="0"/>
    <n v="41"/>
    <x v="0"/>
    <n v="3"/>
    <x v="0"/>
    <n v="4"/>
    <x v="1"/>
    <n v="9419"/>
    <n v="8053"/>
    <n v="2"/>
    <s v="Y"/>
    <x v="1"/>
    <n v="12"/>
    <x v="0"/>
    <n v="3"/>
    <n v="80"/>
    <x v="1"/>
    <n v="12"/>
    <x v="2"/>
    <x v="1"/>
    <n v="10"/>
    <n v="9"/>
    <x v="4"/>
    <n v="4"/>
  </r>
  <r>
    <n v="38"/>
    <x v="1"/>
    <x v="0"/>
    <n v="702"/>
    <x v="0"/>
    <x v="0"/>
    <x v="2"/>
    <s v="Life Sciences"/>
    <n v="1"/>
    <n v="230"/>
    <n v="1"/>
    <x v="0"/>
    <n v="59"/>
    <x v="1"/>
    <n v="2"/>
    <x v="0"/>
    <n v="4"/>
    <x v="0"/>
    <n v="8686"/>
    <n v="12930"/>
    <n v="4"/>
    <s v="Y"/>
    <x v="1"/>
    <n v="22"/>
    <x v="1"/>
    <n v="3"/>
    <n v="80"/>
    <x v="0"/>
    <n v="12"/>
    <x v="2"/>
    <x v="3"/>
    <n v="8"/>
    <n v="3"/>
    <x v="0"/>
    <n v="7"/>
  </r>
  <r>
    <n v="32"/>
    <x v="1"/>
    <x v="0"/>
    <n v="120"/>
    <x v="1"/>
    <x v="16"/>
    <x v="4"/>
    <s v="Life Sciences"/>
    <n v="1"/>
    <n v="231"/>
    <n v="3"/>
    <x v="1"/>
    <n v="43"/>
    <x v="0"/>
    <n v="1"/>
    <x v="1"/>
    <n v="3"/>
    <x v="0"/>
    <n v="3038"/>
    <n v="12430"/>
    <n v="3"/>
    <s v="Y"/>
    <x v="1"/>
    <n v="20"/>
    <x v="1"/>
    <n v="1"/>
    <n v="80"/>
    <x v="0"/>
    <n v="8"/>
    <x v="2"/>
    <x v="1"/>
    <n v="5"/>
    <n v="4"/>
    <x v="1"/>
    <n v="4"/>
  </r>
  <r>
    <n v="27"/>
    <x v="1"/>
    <x v="0"/>
    <n v="1157"/>
    <x v="1"/>
    <x v="27"/>
    <x v="3"/>
    <s v="Technical Degree"/>
    <n v="1"/>
    <n v="233"/>
    <n v="3"/>
    <x v="1"/>
    <n v="51"/>
    <x v="0"/>
    <n v="1"/>
    <x v="1"/>
    <n v="2"/>
    <x v="1"/>
    <n v="3058"/>
    <n v="13364"/>
    <n v="0"/>
    <s v="Y"/>
    <x v="0"/>
    <n v="16"/>
    <x v="0"/>
    <n v="4"/>
    <n v="80"/>
    <x v="1"/>
    <n v="6"/>
    <x v="1"/>
    <x v="2"/>
    <n v="5"/>
    <n v="2"/>
    <x v="1"/>
    <n v="1"/>
  </r>
  <r>
    <n v="19"/>
    <x v="0"/>
    <x v="1"/>
    <n v="602"/>
    <x v="0"/>
    <x v="0"/>
    <x v="1"/>
    <s v="Technical Degree"/>
    <n v="1"/>
    <n v="235"/>
    <n v="3"/>
    <x v="0"/>
    <n v="100"/>
    <x v="3"/>
    <n v="1"/>
    <x v="6"/>
    <n v="1"/>
    <x v="0"/>
    <n v="2325"/>
    <n v="20989"/>
    <n v="0"/>
    <s v="Y"/>
    <x v="1"/>
    <n v="21"/>
    <x v="1"/>
    <n v="1"/>
    <n v="80"/>
    <x v="0"/>
    <n v="1"/>
    <x v="3"/>
    <x v="3"/>
    <n v="0"/>
    <n v="0"/>
    <x v="0"/>
    <n v="0"/>
  </r>
  <r>
    <n v="36"/>
    <x v="1"/>
    <x v="1"/>
    <n v="1480"/>
    <x v="1"/>
    <x v="3"/>
    <x v="0"/>
    <s v="Medical"/>
    <n v="1"/>
    <n v="238"/>
    <n v="4"/>
    <x v="1"/>
    <n v="30"/>
    <x v="0"/>
    <n v="1"/>
    <x v="2"/>
    <n v="2"/>
    <x v="0"/>
    <n v="2088"/>
    <n v="15062"/>
    <n v="4"/>
    <s v="Y"/>
    <x v="1"/>
    <n v="12"/>
    <x v="0"/>
    <n v="3"/>
    <n v="80"/>
    <x v="0"/>
    <n v="13"/>
    <x v="1"/>
    <x v="2"/>
    <n v="8"/>
    <n v="7"/>
    <x v="4"/>
    <n v="2"/>
  </r>
  <r>
    <n v="30"/>
    <x v="1"/>
    <x v="2"/>
    <n v="111"/>
    <x v="1"/>
    <x v="14"/>
    <x v="3"/>
    <s v="Medical"/>
    <n v="1"/>
    <n v="239"/>
    <n v="3"/>
    <x v="1"/>
    <n v="66"/>
    <x v="0"/>
    <n v="2"/>
    <x v="2"/>
    <n v="1"/>
    <x v="2"/>
    <n v="3072"/>
    <n v="11012"/>
    <n v="1"/>
    <s v="Y"/>
    <x v="1"/>
    <n v="11"/>
    <x v="0"/>
    <n v="3"/>
    <n v="80"/>
    <x v="3"/>
    <n v="12"/>
    <x v="5"/>
    <x v="1"/>
    <n v="12"/>
    <n v="9"/>
    <x v="7"/>
    <n v="10"/>
  </r>
  <r>
    <n v="45"/>
    <x v="1"/>
    <x v="0"/>
    <n v="1268"/>
    <x v="0"/>
    <x v="18"/>
    <x v="0"/>
    <s v="Life Sciences"/>
    <n v="1"/>
    <n v="240"/>
    <n v="3"/>
    <x v="0"/>
    <n v="30"/>
    <x v="0"/>
    <n v="2"/>
    <x v="0"/>
    <n v="1"/>
    <x v="2"/>
    <n v="5006"/>
    <n v="6319"/>
    <n v="4"/>
    <s v="Y"/>
    <x v="0"/>
    <n v="11"/>
    <x v="0"/>
    <n v="1"/>
    <n v="80"/>
    <x v="1"/>
    <n v="9"/>
    <x v="1"/>
    <x v="3"/>
    <n v="5"/>
    <n v="4"/>
    <x v="0"/>
    <n v="3"/>
  </r>
  <r>
    <n v="56"/>
    <x v="1"/>
    <x v="0"/>
    <n v="713"/>
    <x v="1"/>
    <x v="1"/>
    <x v="3"/>
    <s v="Life Sciences"/>
    <n v="1"/>
    <n v="241"/>
    <n v="3"/>
    <x v="0"/>
    <n v="67"/>
    <x v="0"/>
    <n v="1"/>
    <x v="1"/>
    <n v="1"/>
    <x v="2"/>
    <n v="4257"/>
    <n v="13939"/>
    <n v="4"/>
    <s v="Y"/>
    <x v="0"/>
    <n v="18"/>
    <x v="0"/>
    <n v="3"/>
    <n v="80"/>
    <x v="1"/>
    <n v="19"/>
    <x v="1"/>
    <x v="1"/>
    <n v="2"/>
    <n v="2"/>
    <x v="3"/>
    <n v="2"/>
  </r>
  <r>
    <n v="33"/>
    <x v="1"/>
    <x v="0"/>
    <n v="134"/>
    <x v="1"/>
    <x v="2"/>
    <x v="3"/>
    <s v="Life Sciences"/>
    <n v="1"/>
    <n v="242"/>
    <n v="3"/>
    <x v="1"/>
    <n v="90"/>
    <x v="0"/>
    <n v="1"/>
    <x v="1"/>
    <n v="4"/>
    <x v="0"/>
    <n v="2500"/>
    <n v="10515"/>
    <n v="0"/>
    <s v="Y"/>
    <x v="1"/>
    <n v="14"/>
    <x v="0"/>
    <n v="1"/>
    <n v="80"/>
    <x v="0"/>
    <n v="4"/>
    <x v="2"/>
    <x v="3"/>
    <n v="3"/>
    <n v="1"/>
    <x v="0"/>
    <n v="2"/>
  </r>
  <r>
    <n v="19"/>
    <x v="0"/>
    <x v="0"/>
    <n v="303"/>
    <x v="1"/>
    <x v="2"/>
    <x v="3"/>
    <s v="Life Sciences"/>
    <n v="1"/>
    <n v="243"/>
    <n v="2"/>
    <x v="1"/>
    <n v="47"/>
    <x v="1"/>
    <n v="1"/>
    <x v="2"/>
    <n v="4"/>
    <x v="0"/>
    <n v="1102"/>
    <n v="9241"/>
    <n v="1"/>
    <s v="Y"/>
    <x v="1"/>
    <n v="22"/>
    <x v="1"/>
    <n v="3"/>
    <n v="80"/>
    <x v="0"/>
    <n v="1"/>
    <x v="1"/>
    <x v="2"/>
    <n v="1"/>
    <n v="0"/>
    <x v="1"/>
    <n v="0"/>
  </r>
  <r>
    <n v="46"/>
    <x v="1"/>
    <x v="0"/>
    <n v="526"/>
    <x v="0"/>
    <x v="0"/>
    <x v="0"/>
    <s v="Marketing"/>
    <n v="1"/>
    <n v="244"/>
    <n v="2"/>
    <x v="0"/>
    <n v="92"/>
    <x v="0"/>
    <n v="3"/>
    <x v="0"/>
    <n v="1"/>
    <x v="2"/>
    <n v="10453"/>
    <n v="2137"/>
    <n v="1"/>
    <s v="Y"/>
    <x v="1"/>
    <n v="25"/>
    <x v="1"/>
    <n v="3"/>
    <n v="80"/>
    <x v="2"/>
    <n v="24"/>
    <x v="2"/>
    <x v="1"/>
    <n v="24"/>
    <n v="13"/>
    <x v="9"/>
    <n v="7"/>
  </r>
  <r>
    <n v="38"/>
    <x v="1"/>
    <x v="0"/>
    <n v="1380"/>
    <x v="1"/>
    <x v="14"/>
    <x v="0"/>
    <s v="Life Sciences"/>
    <n v="1"/>
    <n v="245"/>
    <n v="3"/>
    <x v="0"/>
    <n v="75"/>
    <x v="0"/>
    <n v="1"/>
    <x v="2"/>
    <n v="4"/>
    <x v="0"/>
    <n v="2288"/>
    <n v="6319"/>
    <n v="1"/>
    <s v="Y"/>
    <x v="1"/>
    <n v="12"/>
    <x v="0"/>
    <n v="3"/>
    <n v="80"/>
    <x v="0"/>
    <n v="2"/>
    <x v="1"/>
    <x v="1"/>
    <n v="2"/>
    <n v="2"/>
    <x v="3"/>
    <n v="1"/>
  </r>
  <r>
    <n v="31"/>
    <x v="1"/>
    <x v="0"/>
    <n v="140"/>
    <x v="1"/>
    <x v="20"/>
    <x v="1"/>
    <s v="Medical"/>
    <n v="1"/>
    <n v="246"/>
    <n v="3"/>
    <x v="0"/>
    <n v="95"/>
    <x v="0"/>
    <n v="1"/>
    <x v="1"/>
    <n v="4"/>
    <x v="1"/>
    <n v="3929"/>
    <n v="6984"/>
    <n v="8"/>
    <s v="Y"/>
    <x v="0"/>
    <n v="23"/>
    <x v="1"/>
    <n v="3"/>
    <n v="80"/>
    <x v="1"/>
    <n v="7"/>
    <x v="0"/>
    <x v="1"/>
    <n v="4"/>
    <n v="2"/>
    <x v="0"/>
    <n v="2"/>
  </r>
  <r>
    <n v="34"/>
    <x v="1"/>
    <x v="0"/>
    <n v="629"/>
    <x v="1"/>
    <x v="6"/>
    <x v="0"/>
    <s v="Medical"/>
    <n v="1"/>
    <n v="247"/>
    <n v="4"/>
    <x v="0"/>
    <n v="95"/>
    <x v="0"/>
    <n v="1"/>
    <x v="1"/>
    <n v="2"/>
    <x v="0"/>
    <n v="2311"/>
    <n v="5711"/>
    <n v="2"/>
    <s v="Y"/>
    <x v="1"/>
    <n v="15"/>
    <x v="0"/>
    <n v="4"/>
    <n v="80"/>
    <x v="0"/>
    <n v="9"/>
    <x v="1"/>
    <x v="1"/>
    <n v="3"/>
    <n v="2"/>
    <x v="1"/>
    <n v="2"/>
  </r>
  <r>
    <n v="41"/>
    <x v="0"/>
    <x v="0"/>
    <n v="1356"/>
    <x v="0"/>
    <x v="25"/>
    <x v="0"/>
    <s v="Marketing"/>
    <n v="1"/>
    <n v="248"/>
    <n v="2"/>
    <x v="0"/>
    <n v="70"/>
    <x v="0"/>
    <n v="1"/>
    <x v="6"/>
    <n v="2"/>
    <x v="0"/>
    <n v="3140"/>
    <n v="21728"/>
    <n v="1"/>
    <s v="Y"/>
    <x v="0"/>
    <n v="22"/>
    <x v="1"/>
    <n v="4"/>
    <n v="80"/>
    <x v="0"/>
    <n v="4"/>
    <x v="3"/>
    <x v="2"/>
    <n v="4"/>
    <n v="3"/>
    <x v="0"/>
    <n v="2"/>
  </r>
  <r>
    <n v="50"/>
    <x v="1"/>
    <x v="0"/>
    <n v="328"/>
    <x v="1"/>
    <x v="0"/>
    <x v="3"/>
    <s v="Medical"/>
    <n v="1"/>
    <n v="249"/>
    <n v="3"/>
    <x v="1"/>
    <n v="86"/>
    <x v="1"/>
    <n v="1"/>
    <x v="2"/>
    <n v="3"/>
    <x v="1"/>
    <n v="3690"/>
    <n v="3425"/>
    <n v="2"/>
    <s v="Y"/>
    <x v="1"/>
    <n v="15"/>
    <x v="0"/>
    <n v="4"/>
    <n v="80"/>
    <x v="1"/>
    <n v="5"/>
    <x v="2"/>
    <x v="2"/>
    <n v="3"/>
    <n v="2"/>
    <x v="0"/>
    <n v="2"/>
  </r>
  <r>
    <n v="53"/>
    <x v="1"/>
    <x v="0"/>
    <n v="1084"/>
    <x v="1"/>
    <x v="28"/>
    <x v="0"/>
    <s v="Medical"/>
    <n v="1"/>
    <n v="250"/>
    <n v="4"/>
    <x v="0"/>
    <n v="57"/>
    <x v="2"/>
    <n v="2"/>
    <x v="3"/>
    <n v="1"/>
    <x v="2"/>
    <n v="4450"/>
    <n v="26250"/>
    <n v="1"/>
    <s v="Y"/>
    <x v="1"/>
    <n v="11"/>
    <x v="0"/>
    <n v="3"/>
    <n v="80"/>
    <x v="3"/>
    <n v="5"/>
    <x v="1"/>
    <x v="1"/>
    <n v="4"/>
    <n v="2"/>
    <x v="1"/>
    <n v="3"/>
  </r>
  <r>
    <n v="33"/>
    <x v="1"/>
    <x v="0"/>
    <n v="931"/>
    <x v="1"/>
    <x v="24"/>
    <x v="3"/>
    <s v="Medical"/>
    <n v="1"/>
    <n v="252"/>
    <n v="4"/>
    <x v="0"/>
    <n v="72"/>
    <x v="0"/>
    <n v="1"/>
    <x v="1"/>
    <n v="2"/>
    <x v="1"/>
    <n v="2756"/>
    <n v="4673"/>
    <n v="1"/>
    <s v="Y"/>
    <x v="1"/>
    <n v="13"/>
    <x v="0"/>
    <n v="4"/>
    <n v="80"/>
    <x v="1"/>
    <n v="8"/>
    <x v="3"/>
    <x v="1"/>
    <n v="8"/>
    <n v="7"/>
    <x v="1"/>
    <n v="6"/>
  </r>
  <r>
    <n v="40"/>
    <x v="1"/>
    <x v="0"/>
    <n v="989"/>
    <x v="1"/>
    <x v="18"/>
    <x v="1"/>
    <s v="Medical"/>
    <n v="1"/>
    <n v="253"/>
    <n v="4"/>
    <x v="0"/>
    <n v="46"/>
    <x v="0"/>
    <n v="5"/>
    <x v="5"/>
    <n v="3"/>
    <x v="1"/>
    <n v="19033"/>
    <n v="6499"/>
    <n v="1"/>
    <s v="Y"/>
    <x v="1"/>
    <n v="14"/>
    <x v="0"/>
    <n v="2"/>
    <n v="80"/>
    <x v="1"/>
    <n v="21"/>
    <x v="2"/>
    <x v="1"/>
    <n v="20"/>
    <n v="8"/>
    <x v="10"/>
    <n v="9"/>
  </r>
  <r>
    <n v="55"/>
    <x v="1"/>
    <x v="0"/>
    <n v="692"/>
    <x v="1"/>
    <x v="24"/>
    <x v="2"/>
    <s v="Medical"/>
    <n v="1"/>
    <n v="254"/>
    <n v="3"/>
    <x v="1"/>
    <n v="61"/>
    <x v="2"/>
    <n v="5"/>
    <x v="7"/>
    <n v="2"/>
    <x v="0"/>
    <n v="18722"/>
    <n v="13339"/>
    <n v="8"/>
    <s v="Y"/>
    <x v="1"/>
    <n v="11"/>
    <x v="0"/>
    <n v="4"/>
    <n v="80"/>
    <x v="0"/>
    <n v="36"/>
    <x v="1"/>
    <x v="1"/>
    <n v="24"/>
    <n v="15"/>
    <x v="3"/>
    <n v="15"/>
  </r>
  <r>
    <n v="34"/>
    <x v="1"/>
    <x v="1"/>
    <n v="1069"/>
    <x v="1"/>
    <x v="2"/>
    <x v="1"/>
    <s v="Life Sciences"/>
    <n v="1"/>
    <n v="256"/>
    <n v="4"/>
    <x v="1"/>
    <n v="45"/>
    <x v="1"/>
    <n v="2"/>
    <x v="3"/>
    <n v="3"/>
    <x v="1"/>
    <n v="9547"/>
    <n v="14074"/>
    <n v="1"/>
    <s v="Y"/>
    <x v="1"/>
    <n v="17"/>
    <x v="0"/>
    <n v="3"/>
    <n v="80"/>
    <x v="0"/>
    <n v="10"/>
    <x v="2"/>
    <x v="2"/>
    <n v="10"/>
    <n v="9"/>
    <x v="1"/>
    <n v="9"/>
  </r>
  <r>
    <n v="51"/>
    <x v="1"/>
    <x v="0"/>
    <n v="313"/>
    <x v="1"/>
    <x v="3"/>
    <x v="3"/>
    <s v="Medical"/>
    <n v="1"/>
    <n v="258"/>
    <n v="4"/>
    <x v="0"/>
    <n v="98"/>
    <x v="0"/>
    <n v="4"/>
    <x v="4"/>
    <n v="2"/>
    <x v="0"/>
    <n v="13734"/>
    <n v="7192"/>
    <n v="3"/>
    <s v="Y"/>
    <x v="1"/>
    <n v="18"/>
    <x v="0"/>
    <n v="3"/>
    <n v="80"/>
    <x v="0"/>
    <n v="21"/>
    <x v="6"/>
    <x v="1"/>
    <n v="7"/>
    <n v="7"/>
    <x v="1"/>
    <n v="0"/>
  </r>
  <r>
    <n v="52"/>
    <x v="1"/>
    <x v="0"/>
    <n v="699"/>
    <x v="1"/>
    <x v="0"/>
    <x v="2"/>
    <s v="Life Sciences"/>
    <n v="1"/>
    <n v="259"/>
    <n v="3"/>
    <x v="1"/>
    <n v="65"/>
    <x v="1"/>
    <n v="5"/>
    <x v="5"/>
    <n v="3"/>
    <x v="1"/>
    <n v="19999"/>
    <n v="5678"/>
    <n v="0"/>
    <s v="Y"/>
    <x v="1"/>
    <n v="14"/>
    <x v="0"/>
    <n v="1"/>
    <n v="80"/>
    <x v="1"/>
    <n v="34"/>
    <x v="3"/>
    <x v="1"/>
    <n v="33"/>
    <n v="18"/>
    <x v="14"/>
    <n v="9"/>
  </r>
  <r>
    <n v="27"/>
    <x v="1"/>
    <x v="0"/>
    <n v="894"/>
    <x v="1"/>
    <x v="14"/>
    <x v="3"/>
    <s v="Medical"/>
    <n v="1"/>
    <n v="260"/>
    <n v="4"/>
    <x v="0"/>
    <n v="99"/>
    <x v="0"/>
    <n v="1"/>
    <x v="1"/>
    <n v="2"/>
    <x v="0"/>
    <n v="2279"/>
    <n v="11781"/>
    <n v="1"/>
    <s v="Y"/>
    <x v="1"/>
    <n v="16"/>
    <x v="0"/>
    <n v="4"/>
    <n v="80"/>
    <x v="0"/>
    <n v="7"/>
    <x v="2"/>
    <x v="2"/>
    <n v="7"/>
    <n v="7"/>
    <x v="0"/>
    <n v="3"/>
  </r>
  <r>
    <n v="35"/>
    <x v="0"/>
    <x v="0"/>
    <n v="556"/>
    <x v="1"/>
    <x v="5"/>
    <x v="0"/>
    <s v="Life Sciences"/>
    <n v="1"/>
    <n v="261"/>
    <n v="2"/>
    <x v="1"/>
    <n v="50"/>
    <x v="1"/>
    <n v="2"/>
    <x v="3"/>
    <n v="3"/>
    <x v="1"/>
    <n v="5916"/>
    <n v="15497"/>
    <n v="3"/>
    <s v="Y"/>
    <x v="0"/>
    <n v="13"/>
    <x v="0"/>
    <n v="1"/>
    <n v="80"/>
    <x v="0"/>
    <n v="8"/>
    <x v="4"/>
    <x v="1"/>
    <n v="1"/>
    <n v="0"/>
    <x v="0"/>
    <n v="1"/>
  </r>
  <r>
    <n v="43"/>
    <x v="1"/>
    <x v="2"/>
    <n v="1344"/>
    <x v="1"/>
    <x v="15"/>
    <x v="3"/>
    <s v="Medical"/>
    <n v="1"/>
    <n v="262"/>
    <n v="4"/>
    <x v="1"/>
    <n v="37"/>
    <x v="2"/>
    <n v="1"/>
    <x v="1"/>
    <n v="4"/>
    <x v="2"/>
    <n v="2089"/>
    <n v="5228"/>
    <n v="4"/>
    <s v="Y"/>
    <x v="1"/>
    <n v="14"/>
    <x v="0"/>
    <n v="4"/>
    <n v="80"/>
    <x v="2"/>
    <n v="7"/>
    <x v="1"/>
    <x v="3"/>
    <n v="5"/>
    <n v="4"/>
    <x v="3"/>
    <n v="2"/>
  </r>
  <r>
    <n v="45"/>
    <x v="1"/>
    <x v="2"/>
    <n v="1195"/>
    <x v="1"/>
    <x v="2"/>
    <x v="0"/>
    <s v="Medical"/>
    <n v="1"/>
    <n v="264"/>
    <n v="1"/>
    <x v="1"/>
    <n v="65"/>
    <x v="1"/>
    <n v="4"/>
    <x v="5"/>
    <n v="4"/>
    <x v="1"/>
    <n v="16792"/>
    <n v="20462"/>
    <n v="9"/>
    <s v="Y"/>
    <x v="1"/>
    <n v="23"/>
    <x v="1"/>
    <n v="4"/>
    <n v="80"/>
    <x v="1"/>
    <n v="22"/>
    <x v="4"/>
    <x v="1"/>
    <n v="20"/>
    <n v="8"/>
    <x v="14"/>
    <n v="8"/>
  </r>
  <r>
    <n v="37"/>
    <x v="1"/>
    <x v="0"/>
    <n v="290"/>
    <x v="1"/>
    <x v="11"/>
    <x v="3"/>
    <s v="Life Sciences"/>
    <n v="1"/>
    <n v="267"/>
    <n v="2"/>
    <x v="1"/>
    <n v="65"/>
    <x v="2"/>
    <n v="1"/>
    <x v="1"/>
    <n v="1"/>
    <x v="1"/>
    <n v="3564"/>
    <n v="22977"/>
    <n v="1"/>
    <s v="Y"/>
    <x v="0"/>
    <n v="12"/>
    <x v="0"/>
    <n v="1"/>
    <n v="80"/>
    <x v="1"/>
    <n v="8"/>
    <x v="1"/>
    <x v="2"/>
    <n v="8"/>
    <n v="7"/>
    <x v="1"/>
    <n v="7"/>
  </r>
  <r>
    <n v="35"/>
    <x v="1"/>
    <x v="1"/>
    <n v="138"/>
    <x v="1"/>
    <x v="2"/>
    <x v="3"/>
    <s v="Medical"/>
    <n v="1"/>
    <n v="269"/>
    <n v="2"/>
    <x v="0"/>
    <n v="37"/>
    <x v="0"/>
    <n v="2"/>
    <x v="2"/>
    <n v="2"/>
    <x v="0"/>
    <n v="4425"/>
    <n v="15986"/>
    <n v="5"/>
    <s v="Y"/>
    <x v="1"/>
    <n v="11"/>
    <x v="0"/>
    <n v="4"/>
    <n v="80"/>
    <x v="0"/>
    <n v="10"/>
    <x v="3"/>
    <x v="1"/>
    <n v="6"/>
    <n v="2"/>
    <x v="1"/>
    <n v="2"/>
  </r>
  <r>
    <n v="42"/>
    <x v="1"/>
    <x v="2"/>
    <n v="926"/>
    <x v="1"/>
    <x v="11"/>
    <x v="0"/>
    <s v="Medical"/>
    <n v="1"/>
    <n v="270"/>
    <n v="3"/>
    <x v="0"/>
    <n v="36"/>
    <x v="0"/>
    <n v="2"/>
    <x v="3"/>
    <n v="3"/>
    <x v="2"/>
    <n v="5265"/>
    <n v="16439"/>
    <n v="2"/>
    <s v="Y"/>
    <x v="1"/>
    <n v="16"/>
    <x v="0"/>
    <n v="2"/>
    <n v="80"/>
    <x v="1"/>
    <n v="11"/>
    <x v="3"/>
    <x v="1"/>
    <n v="5"/>
    <n v="3"/>
    <x v="0"/>
    <n v="2"/>
  </r>
  <r>
    <n v="38"/>
    <x v="1"/>
    <x v="0"/>
    <n v="1261"/>
    <x v="1"/>
    <x v="2"/>
    <x v="2"/>
    <s v="Life Sciences"/>
    <n v="1"/>
    <n v="271"/>
    <n v="4"/>
    <x v="1"/>
    <n v="88"/>
    <x v="0"/>
    <n v="2"/>
    <x v="3"/>
    <n v="3"/>
    <x v="1"/>
    <n v="6553"/>
    <n v="7259"/>
    <n v="9"/>
    <s v="Y"/>
    <x v="1"/>
    <n v="14"/>
    <x v="0"/>
    <n v="2"/>
    <n v="80"/>
    <x v="0"/>
    <n v="14"/>
    <x v="1"/>
    <x v="1"/>
    <n v="1"/>
    <n v="0"/>
    <x v="0"/>
    <n v="0"/>
  </r>
  <r>
    <n v="38"/>
    <x v="1"/>
    <x v="0"/>
    <n v="1084"/>
    <x v="1"/>
    <x v="22"/>
    <x v="3"/>
    <s v="Technical Degree"/>
    <n v="1"/>
    <n v="273"/>
    <n v="4"/>
    <x v="1"/>
    <n v="54"/>
    <x v="0"/>
    <n v="2"/>
    <x v="3"/>
    <n v="4"/>
    <x v="1"/>
    <n v="6261"/>
    <n v="4185"/>
    <n v="3"/>
    <s v="Y"/>
    <x v="1"/>
    <n v="18"/>
    <x v="0"/>
    <n v="1"/>
    <n v="80"/>
    <x v="1"/>
    <n v="9"/>
    <x v="1"/>
    <x v="0"/>
    <n v="7"/>
    <n v="7"/>
    <x v="1"/>
    <n v="7"/>
  </r>
  <r>
    <n v="27"/>
    <x v="1"/>
    <x v="1"/>
    <n v="472"/>
    <x v="1"/>
    <x v="0"/>
    <x v="1"/>
    <s v="Technical Degree"/>
    <n v="1"/>
    <n v="274"/>
    <n v="3"/>
    <x v="1"/>
    <n v="60"/>
    <x v="1"/>
    <n v="2"/>
    <x v="3"/>
    <n v="1"/>
    <x v="1"/>
    <n v="4298"/>
    <n v="9679"/>
    <n v="5"/>
    <s v="Y"/>
    <x v="1"/>
    <n v="19"/>
    <x v="0"/>
    <n v="3"/>
    <n v="80"/>
    <x v="1"/>
    <n v="6"/>
    <x v="4"/>
    <x v="1"/>
    <n v="2"/>
    <n v="2"/>
    <x v="3"/>
    <n v="0"/>
  </r>
  <r>
    <n v="49"/>
    <x v="1"/>
    <x v="2"/>
    <n v="1002"/>
    <x v="1"/>
    <x v="21"/>
    <x v="2"/>
    <s v="Life Sciences"/>
    <n v="1"/>
    <n v="275"/>
    <n v="4"/>
    <x v="1"/>
    <n v="92"/>
    <x v="0"/>
    <n v="2"/>
    <x v="3"/>
    <n v="4"/>
    <x v="2"/>
    <n v="6804"/>
    <n v="23793"/>
    <n v="1"/>
    <s v="Y"/>
    <x v="0"/>
    <n v="15"/>
    <x v="0"/>
    <n v="1"/>
    <n v="80"/>
    <x v="3"/>
    <n v="7"/>
    <x v="0"/>
    <x v="1"/>
    <n v="7"/>
    <n v="7"/>
    <x v="1"/>
    <n v="7"/>
  </r>
  <r>
    <n v="34"/>
    <x v="1"/>
    <x v="1"/>
    <n v="878"/>
    <x v="1"/>
    <x v="17"/>
    <x v="2"/>
    <s v="Medical"/>
    <n v="1"/>
    <n v="277"/>
    <n v="4"/>
    <x v="1"/>
    <n v="43"/>
    <x v="0"/>
    <n v="1"/>
    <x v="1"/>
    <n v="3"/>
    <x v="2"/>
    <n v="3815"/>
    <n v="5972"/>
    <n v="1"/>
    <s v="Y"/>
    <x v="0"/>
    <n v="17"/>
    <x v="0"/>
    <n v="4"/>
    <n v="80"/>
    <x v="1"/>
    <n v="5"/>
    <x v="5"/>
    <x v="3"/>
    <n v="5"/>
    <n v="3"/>
    <x v="3"/>
    <n v="0"/>
  </r>
  <r>
    <n v="40"/>
    <x v="1"/>
    <x v="0"/>
    <n v="905"/>
    <x v="1"/>
    <x v="10"/>
    <x v="0"/>
    <s v="Medical"/>
    <n v="1"/>
    <n v="281"/>
    <n v="3"/>
    <x v="1"/>
    <n v="99"/>
    <x v="0"/>
    <n v="2"/>
    <x v="2"/>
    <n v="4"/>
    <x v="1"/>
    <n v="2741"/>
    <n v="16523"/>
    <n v="8"/>
    <s v="Y"/>
    <x v="0"/>
    <n v="15"/>
    <x v="0"/>
    <n v="3"/>
    <n v="80"/>
    <x v="1"/>
    <n v="15"/>
    <x v="2"/>
    <x v="3"/>
    <n v="7"/>
    <n v="2"/>
    <x v="2"/>
    <n v="7"/>
  </r>
  <r>
    <n v="38"/>
    <x v="0"/>
    <x v="0"/>
    <n v="1180"/>
    <x v="1"/>
    <x v="22"/>
    <x v="1"/>
    <s v="Medical"/>
    <n v="1"/>
    <n v="282"/>
    <n v="2"/>
    <x v="1"/>
    <n v="70"/>
    <x v="0"/>
    <n v="2"/>
    <x v="4"/>
    <n v="1"/>
    <x v="1"/>
    <n v="6673"/>
    <n v="11354"/>
    <n v="7"/>
    <s v="Y"/>
    <x v="0"/>
    <n v="19"/>
    <x v="0"/>
    <n v="2"/>
    <n v="80"/>
    <x v="0"/>
    <n v="17"/>
    <x v="2"/>
    <x v="1"/>
    <n v="1"/>
    <n v="0"/>
    <x v="0"/>
    <n v="0"/>
  </r>
  <r>
    <n v="29"/>
    <x v="0"/>
    <x v="0"/>
    <n v="121"/>
    <x v="0"/>
    <x v="6"/>
    <x v="3"/>
    <s v="Marketing"/>
    <n v="1"/>
    <n v="283"/>
    <n v="2"/>
    <x v="0"/>
    <n v="35"/>
    <x v="0"/>
    <n v="3"/>
    <x v="0"/>
    <n v="4"/>
    <x v="1"/>
    <n v="7639"/>
    <n v="24525"/>
    <n v="1"/>
    <s v="Y"/>
    <x v="1"/>
    <n v="22"/>
    <x v="1"/>
    <n v="4"/>
    <n v="80"/>
    <x v="2"/>
    <n v="10"/>
    <x v="1"/>
    <x v="2"/>
    <n v="10"/>
    <n v="4"/>
    <x v="1"/>
    <n v="9"/>
  </r>
  <r>
    <n v="22"/>
    <x v="1"/>
    <x v="0"/>
    <n v="1136"/>
    <x v="1"/>
    <x v="12"/>
    <x v="3"/>
    <s v="Life Sciences"/>
    <n v="1"/>
    <n v="284"/>
    <n v="4"/>
    <x v="1"/>
    <n v="60"/>
    <x v="2"/>
    <n v="1"/>
    <x v="1"/>
    <n v="2"/>
    <x v="2"/>
    <n v="2328"/>
    <n v="12392"/>
    <n v="1"/>
    <s v="Y"/>
    <x v="0"/>
    <n v="16"/>
    <x v="0"/>
    <n v="1"/>
    <n v="80"/>
    <x v="1"/>
    <n v="4"/>
    <x v="2"/>
    <x v="2"/>
    <n v="4"/>
    <n v="2"/>
    <x v="3"/>
    <n v="2"/>
  </r>
  <r>
    <n v="36"/>
    <x v="1"/>
    <x v="1"/>
    <n v="635"/>
    <x v="1"/>
    <x v="21"/>
    <x v="1"/>
    <s v="Medical"/>
    <n v="1"/>
    <n v="286"/>
    <n v="2"/>
    <x v="0"/>
    <n v="73"/>
    <x v="0"/>
    <n v="1"/>
    <x v="2"/>
    <n v="4"/>
    <x v="0"/>
    <n v="2153"/>
    <n v="7703"/>
    <n v="1"/>
    <s v="Y"/>
    <x v="1"/>
    <n v="13"/>
    <x v="0"/>
    <n v="1"/>
    <n v="80"/>
    <x v="0"/>
    <n v="8"/>
    <x v="2"/>
    <x v="1"/>
    <n v="8"/>
    <n v="1"/>
    <x v="1"/>
    <n v="7"/>
  </r>
  <r>
    <n v="40"/>
    <x v="1"/>
    <x v="2"/>
    <n v="1151"/>
    <x v="1"/>
    <x v="14"/>
    <x v="4"/>
    <s v="Life Sciences"/>
    <n v="1"/>
    <n v="287"/>
    <n v="4"/>
    <x v="1"/>
    <n v="63"/>
    <x v="1"/>
    <n v="2"/>
    <x v="4"/>
    <n v="4"/>
    <x v="1"/>
    <n v="4876"/>
    <n v="14242"/>
    <n v="9"/>
    <s v="Y"/>
    <x v="1"/>
    <n v="14"/>
    <x v="0"/>
    <n v="4"/>
    <n v="80"/>
    <x v="1"/>
    <n v="5"/>
    <x v="3"/>
    <x v="0"/>
    <n v="3"/>
    <n v="2"/>
    <x v="0"/>
    <n v="2"/>
  </r>
  <r>
    <n v="46"/>
    <x v="1"/>
    <x v="0"/>
    <n v="644"/>
    <x v="1"/>
    <x v="0"/>
    <x v="2"/>
    <s v="Medical"/>
    <n v="1"/>
    <n v="288"/>
    <n v="4"/>
    <x v="1"/>
    <n v="97"/>
    <x v="0"/>
    <n v="3"/>
    <x v="4"/>
    <n v="1"/>
    <x v="2"/>
    <n v="9396"/>
    <n v="12368"/>
    <n v="7"/>
    <s v="Y"/>
    <x v="1"/>
    <n v="16"/>
    <x v="0"/>
    <n v="3"/>
    <n v="80"/>
    <x v="1"/>
    <n v="17"/>
    <x v="1"/>
    <x v="1"/>
    <n v="4"/>
    <n v="2"/>
    <x v="0"/>
    <n v="3"/>
  </r>
  <r>
    <n v="32"/>
    <x v="0"/>
    <x v="0"/>
    <n v="1045"/>
    <x v="0"/>
    <x v="18"/>
    <x v="2"/>
    <s v="Medical"/>
    <n v="1"/>
    <n v="291"/>
    <n v="4"/>
    <x v="1"/>
    <n v="32"/>
    <x v="3"/>
    <n v="3"/>
    <x v="0"/>
    <n v="4"/>
    <x v="1"/>
    <n v="10400"/>
    <n v="25812"/>
    <n v="1"/>
    <s v="Y"/>
    <x v="1"/>
    <n v="11"/>
    <x v="0"/>
    <n v="3"/>
    <n v="80"/>
    <x v="0"/>
    <n v="14"/>
    <x v="2"/>
    <x v="2"/>
    <n v="14"/>
    <n v="8"/>
    <x v="10"/>
    <n v="8"/>
  </r>
  <r>
    <n v="30"/>
    <x v="1"/>
    <x v="2"/>
    <n v="829"/>
    <x v="1"/>
    <x v="0"/>
    <x v="1"/>
    <s v="Life Sciences"/>
    <n v="1"/>
    <n v="292"/>
    <n v="3"/>
    <x v="1"/>
    <n v="88"/>
    <x v="1"/>
    <n v="3"/>
    <x v="3"/>
    <n v="3"/>
    <x v="0"/>
    <n v="8474"/>
    <n v="20925"/>
    <n v="1"/>
    <s v="Y"/>
    <x v="1"/>
    <n v="22"/>
    <x v="1"/>
    <n v="3"/>
    <n v="80"/>
    <x v="0"/>
    <n v="12"/>
    <x v="2"/>
    <x v="1"/>
    <n v="11"/>
    <n v="8"/>
    <x v="8"/>
    <n v="8"/>
  </r>
  <r>
    <n v="27"/>
    <x v="1"/>
    <x v="1"/>
    <n v="1242"/>
    <x v="0"/>
    <x v="25"/>
    <x v="3"/>
    <s v="Life Sciences"/>
    <n v="1"/>
    <n v="293"/>
    <n v="4"/>
    <x v="0"/>
    <n v="90"/>
    <x v="0"/>
    <n v="2"/>
    <x v="0"/>
    <n v="3"/>
    <x v="0"/>
    <n v="9981"/>
    <n v="12916"/>
    <n v="1"/>
    <s v="Y"/>
    <x v="1"/>
    <n v="14"/>
    <x v="0"/>
    <n v="4"/>
    <n v="80"/>
    <x v="0"/>
    <n v="7"/>
    <x v="2"/>
    <x v="1"/>
    <n v="7"/>
    <n v="7"/>
    <x v="0"/>
    <n v="7"/>
  </r>
  <r>
    <n v="51"/>
    <x v="1"/>
    <x v="0"/>
    <n v="1469"/>
    <x v="1"/>
    <x v="1"/>
    <x v="2"/>
    <s v="Life Sciences"/>
    <n v="1"/>
    <n v="296"/>
    <n v="2"/>
    <x v="1"/>
    <n v="81"/>
    <x v="1"/>
    <n v="3"/>
    <x v="7"/>
    <n v="2"/>
    <x v="1"/>
    <n v="12490"/>
    <n v="15736"/>
    <n v="5"/>
    <s v="Y"/>
    <x v="1"/>
    <n v="16"/>
    <x v="0"/>
    <n v="4"/>
    <n v="80"/>
    <x v="3"/>
    <n v="16"/>
    <x v="3"/>
    <x v="0"/>
    <n v="10"/>
    <n v="9"/>
    <x v="5"/>
    <n v="7"/>
  </r>
  <r>
    <n v="30"/>
    <x v="0"/>
    <x v="0"/>
    <n v="1005"/>
    <x v="1"/>
    <x v="3"/>
    <x v="3"/>
    <s v="Technical Degree"/>
    <n v="1"/>
    <n v="297"/>
    <n v="4"/>
    <x v="0"/>
    <n v="88"/>
    <x v="0"/>
    <n v="1"/>
    <x v="1"/>
    <n v="1"/>
    <x v="0"/>
    <n v="2657"/>
    <n v="8556"/>
    <n v="5"/>
    <s v="Y"/>
    <x v="0"/>
    <n v="11"/>
    <x v="0"/>
    <n v="3"/>
    <n v="80"/>
    <x v="0"/>
    <n v="8"/>
    <x v="3"/>
    <x v="1"/>
    <n v="5"/>
    <n v="2"/>
    <x v="0"/>
    <n v="4"/>
  </r>
  <r>
    <n v="41"/>
    <x v="1"/>
    <x v="0"/>
    <n v="896"/>
    <x v="0"/>
    <x v="16"/>
    <x v="3"/>
    <s v="Life Sciences"/>
    <n v="1"/>
    <n v="298"/>
    <n v="4"/>
    <x v="0"/>
    <n v="75"/>
    <x v="0"/>
    <n v="3"/>
    <x v="5"/>
    <n v="4"/>
    <x v="0"/>
    <n v="13591"/>
    <n v="14674"/>
    <n v="3"/>
    <s v="Y"/>
    <x v="0"/>
    <n v="18"/>
    <x v="0"/>
    <n v="3"/>
    <n v="80"/>
    <x v="0"/>
    <n v="16"/>
    <x v="1"/>
    <x v="1"/>
    <n v="1"/>
    <n v="0"/>
    <x v="0"/>
    <n v="0"/>
  </r>
  <r>
    <n v="30"/>
    <x v="0"/>
    <x v="1"/>
    <n v="334"/>
    <x v="0"/>
    <x v="9"/>
    <x v="2"/>
    <s v="Marketing"/>
    <n v="1"/>
    <n v="299"/>
    <n v="3"/>
    <x v="0"/>
    <n v="52"/>
    <x v="1"/>
    <n v="2"/>
    <x v="0"/>
    <n v="1"/>
    <x v="0"/>
    <n v="6696"/>
    <n v="22967"/>
    <n v="5"/>
    <s v="Y"/>
    <x v="1"/>
    <n v="15"/>
    <x v="0"/>
    <n v="3"/>
    <n v="80"/>
    <x v="0"/>
    <n v="9"/>
    <x v="3"/>
    <x v="2"/>
    <n v="6"/>
    <n v="3"/>
    <x v="0"/>
    <n v="1"/>
  </r>
  <r>
    <n v="29"/>
    <x v="0"/>
    <x v="0"/>
    <n v="992"/>
    <x v="1"/>
    <x v="0"/>
    <x v="3"/>
    <s v="Technical Degree"/>
    <n v="1"/>
    <n v="300"/>
    <n v="3"/>
    <x v="1"/>
    <n v="85"/>
    <x v="0"/>
    <n v="1"/>
    <x v="1"/>
    <n v="3"/>
    <x v="0"/>
    <n v="2058"/>
    <n v="19757"/>
    <n v="0"/>
    <s v="Y"/>
    <x v="1"/>
    <n v="14"/>
    <x v="0"/>
    <n v="4"/>
    <n v="80"/>
    <x v="0"/>
    <n v="7"/>
    <x v="4"/>
    <x v="2"/>
    <n v="6"/>
    <n v="2"/>
    <x v="1"/>
    <n v="5"/>
  </r>
  <r>
    <n v="45"/>
    <x v="1"/>
    <x v="2"/>
    <n v="1052"/>
    <x v="0"/>
    <x v="16"/>
    <x v="3"/>
    <s v="Medical"/>
    <n v="1"/>
    <n v="302"/>
    <n v="4"/>
    <x v="0"/>
    <n v="57"/>
    <x v="1"/>
    <n v="3"/>
    <x v="0"/>
    <n v="4"/>
    <x v="0"/>
    <n v="8865"/>
    <n v="16840"/>
    <n v="6"/>
    <s v="Y"/>
    <x v="1"/>
    <n v="12"/>
    <x v="0"/>
    <n v="4"/>
    <n v="80"/>
    <x v="0"/>
    <n v="23"/>
    <x v="2"/>
    <x v="1"/>
    <n v="19"/>
    <n v="7"/>
    <x v="12"/>
    <n v="8"/>
  </r>
  <r>
    <n v="54"/>
    <x v="1"/>
    <x v="0"/>
    <n v="1147"/>
    <x v="0"/>
    <x v="3"/>
    <x v="3"/>
    <s v="Marketing"/>
    <n v="1"/>
    <n v="303"/>
    <n v="4"/>
    <x v="0"/>
    <n v="52"/>
    <x v="0"/>
    <n v="2"/>
    <x v="0"/>
    <n v="1"/>
    <x v="1"/>
    <n v="5940"/>
    <n v="17011"/>
    <n v="2"/>
    <s v="Y"/>
    <x v="1"/>
    <n v="14"/>
    <x v="0"/>
    <n v="4"/>
    <n v="80"/>
    <x v="1"/>
    <n v="16"/>
    <x v="5"/>
    <x v="1"/>
    <n v="6"/>
    <n v="2"/>
    <x v="0"/>
    <n v="5"/>
  </r>
  <r>
    <n v="36"/>
    <x v="1"/>
    <x v="0"/>
    <n v="1396"/>
    <x v="1"/>
    <x v="12"/>
    <x v="0"/>
    <s v="Life Sciences"/>
    <n v="1"/>
    <n v="304"/>
    <n v="4"/>
    <x v="1"/>
    <n v="62"/>
    <x v="0"/>
    <n v="2"/>
    <x v="2"/>
    <n v="2"/>
    <x v="0"/>
    <n v="5914"/>
    <n v="9945"/>
    <n v="8"/>
    <s v="Y"/>
    <x v="1"/>
    <n v="16"/>
    <x v="0"/>
    <n v="4"/>
    <n v="80"/>
    <x v="0"/>
    <n v="16"/>
    <x v="1"/>
    <x v="3"/>
    <n v="13"/>
    <n v="11"/>
    <x v="2"/>
    <n v="7"/>
  </r>
  <r>
    <n v="33"/>
    <x v="1"/>
    <x v="0"/>
    <n v="147"/>
    <x v="1"/>
    <x v="18"/>
    <x v="2"/>
    <s v="Medical"/>
    <n v="1"/>
    <n v="305"/>
    <n v="3"/>
    <x v="0"/>
    <n v="47"/>
    <x v="1"/>
    <n v="1"/>
    <x v="1"/>
    <n v="2"/>
    <x v="1"/>
    <n v="2622"/>
    <n v="13248"/>
    <n v="6"/>
    <s v="Y"/>
    <x v="1"/>
    <n v="21"/>
    <x v="1"/>
    <n v="4"/>
    <n v="80"/>
    <x v="0"/>
    <n v="7"/>
    <x v="1"/>
    <x v="1"/>
    <n v="3"/>
    <n v="2"/>
    <x v="1"/>
    <n v="1"/>
  </r>
  <r>
    <n v="37"/>
    <x v="1"/>
    <x v="1"/>
    <n v="663"/>
    <x v="1"/>
    <x v="13"/>
    <x v="3"/>
    <s v="Other"/>
    <n v="1"/>
    <n v="306"/>
    <n v="2"/>
    <x v="1"/>
    <n v="47"/>
    <x v="0"/>
    <n v="3"/>
    <x v="7"/>
    <n v="4"/>
    <x v="2"/>
    <n v="12185"/>
    <n v="10056"/>
    <n v="1"/>
    <s v="Y"/>
    <x v="0"/>
    <n v="14"/>
    <x v="0"/>
    <n v="3"/>
    <n v="80"/>
    <x v="2"/>
    <n v="10"/>
    <x v="4"/>
    <x v="1"/>
    <n v="10"/>
    <n v="8"/>
    <x v="0"/>
    <n v="7"/>
  </r>
  <r>
    <n v="38"/>
    <x v="1"/>
    <x v="0"/>
    <n v="119"/>
    <x v="0"/>
    <x v="3"/>
    <x v="3"/>
    <s v="Life Sciences"/>
    <n v="1"/>
    <n v="307"/>
    <n v="1"/>
    <x v="1"/>
    <n v="76"/>
    <x v="0"/>
    <n v="3"/>
    <x v="0"/>
    <n v="3"/>
    <x v="2"/>
    <n v="10609"/>
    <n v="9647"/>
    <n v="0"/>
    <s v="Y"/>
    <x v="1"/>
    <n v="12"/>
    <x v="0"/>
    <n v="3"/>
    <n v="80"/>
    <x v="3"/>
    <n v="17"/>
    <x v="6"/>
    <x v="2"/>
    <n v="16"/>
    <n v="10"/>
    <x v="8"/>
    <n v="13"/>
  </r>
  <r>
    <n v="31"/>
    <x v="1"/>
    <x v="2"/>
    <n v="979"/>
    <x v="1"/>
    <x v="0"/>
    <x v="2"/>
    <s v="Medical"/>
    <n v="1"/>
    <n v="308"/>
    <n v="3"/>
    <x v="1"/>
    <n v="90"/>
    <x v="3"/>
    <n v="2"/>
    <x v="3"/>
    <n v="3"/>
    <x v="1"/>
    <n v="4345"/>
    <n v="4381"/>
    <n v="0"/>
    <s v="Y"/>
    <x v="1"/>
    <n v="12"/>
    <x v="0"/>
    <n v="4"/>
    <n v="80"/>
    <x v="1"/>
    <n v="6"/>
    <x v="2"/>
    <x v="1"/>
    <n v="5"/>
    <n v="4"/>
    <x v="1"/>
    <n v="4"/>
  </r>
  <r>
    <n v="59"/>
    <x v="1"/>
    <x v="0"/>
    <n v="142"/>
    <x v="1"/>
    <x v="3"/>
    <x v="3"/>
    <s v="Life Sciences"/>
    <n v="1"/>
    <n v="309"/>
    <n v="3"/>
    <x v="1"/>
    <n v="70"/>
    <x v="1"/>
    <n v="1"/>
    <x v="1"/>
    <n v="4"/>
    <x v="1"/>
    <n v="2177"/>
    <n v="8456"/>
    <n v="3"/>
    <s v="Y"/>
    <x v="1"/>
    <n v="17"/>
    <x v="0"/>
    <n v="1"/>
    <n v="80"/>
    <x v="1"/>
    <n v="7"/>
    <x v="6"/>
    <x v="1"/>
    <n v="1"/>
    <n v="0"/>
    <x v="0"/>
    <n v="0"/>
  </r>
  <r>
    <n v="37"/>
    <x v="1"/>
    <x v="1"/>
    <n v="319"/>
    <x v="0"/>
    <x v="18"/>
    <x v="2"/>
    <s v="Marketing"/>
    <n v="1"/>
    <n v="311"/>
    <n v="1"/>
    <x v="1"/>
    <n v="41"/>
    <x v="0"/>
    <n v="1"/>
    <x v="6"/>
    <n v="4"/>
    <x v="2"/>
    <n v="2793"/>
    <n v="2539"/>
    <n v="4"/>
    <s v="Y"/>
    <x v="1"/>
    <n v="17"/>
    <x v="0"/>
    <n v="3"/>
    <n v="80"/>
    <x v="1"/>
    <n v="13"/>
    <x v="2"/>
    <x v="1"/>
    <n v="9"/>
    <n v="8"/>
    <x v="8"/>
    <n v="8"/>
  </r>
  <r>
    <n v="29"/>
    <x v="1"/>
    <x v="1"/>
    <n v="1413"/>
    <x v="0"/>
    <x v="0"/>
    <x v="1"/>
    <s v="Medical"/>
    <n v="1"/>
    <n v="312"/>
    <n v="2"/>
    <x v="0"/>
    <n v="42"/>
    <x v="0"/>
    <n v="3"/>
    <x v="0"/>
    <n v="4"/>
    <x v="1"/>
    <n v="7918"/>
    <n v="6599"/>
    <n v="1"/>
    <s v="Y"/>
    <x v="1"/>
    <n v="14"/>
    <x v="0"/>
    <n v="4"/>
    <n v="80"/>
    <x v="1"/>
    <n v="11"/>
    <x v="3"/>
    <x v="1"/>
    <n v="11"/>
    <n v="10"/>
    <x v="5"/>
    <n v="1"/>
  </r>
  <r>
    <n v="35"/>
    <x v="1"/>
    <x v="1"/>
    <n v="944"/>
    <x v="0"/>
    <x v="0"/>
    <x v="3"/>
    <s v="Marketing"/>
    <n v="1"/>
    <n v="314"/>
    <n v="3"/>
    <x v="0"/>
    <n v="92"/>
    <x v="0"/>
    <n v="3"/>
    <x v="0"/>
    <n v="3"/>
    <x v="0"/>
    <n v="8789"/>
    <n v="9096"/>
    <n v="1"/>
    <s v="Y"/>
    <x v="1"/>
    <n v="14"/>
    <x v="0"/>
    <n v="1"/>
    <n v="80"/>
    <x v="0"/>
    <n v="10"/>
    <x v="1"/>
    <x v="3"/>
    <n v="10"/>
    <n v="7"/>
    <x v="0"/>
    <n v="8"/>
  </r>
  <r>
    <n v="29"/>
    <x v="0"/>
    <x v="0"/>
    <n v="896"/>
    <x v="1"/>
    <x v="21"/>
    <x v="1"/>
    <s v="Medical"/>
    <n v="1"/>
    <n v="315"/>
    <n v="3"/>
    <x v="1"/>
    <n v="86"/>
    <x v="1"/>
    <n v="1"/>
    <x v="1"/>
    <n v="4"/>
    <x v="0"/>
    <n v="2389"/>
    <n v="14961"/>
    <n v="1"/>
    <s v="Y"/>
    <x v="0"/>
    <n v="13"/>
    <x v="0"/>
    <n v="3"/>
    <n v="80"/>
    <x v="0"/>
    <n v="4"/>
    <x v="1"/>
    <x v="2"/>
    <n v="4"/>
    <n v="3"/>
    <x v="0"/>
    <n v="1"/>
  </r>
  <r>
    <n v="52"/>
    <x v="1"/>
    <x v="0"/>
    <n v="1323"/>
    <x v="1"/>
    <x v="2"/>
    <x v="3"/>
    <s v="Life Sciences"/>
    <n v="1"/>
    <n v="316"/>
    <n v="3"/>
    <x v="0"/>
    <n v="89"/>
    <x v="1"/>
    <n v="1"/>
    <x v="2"/>
    <n v="4"/>
    <x v="0"/>
    <n v="3212"/>
    <n v="3300"/>
    <n v="7"/>
    <s v="Y"/>
    <x v="1"/>
    <n v="15"/>
    <x v="0"/>
    <n v="2"/>
    <n v="80"/>
    <x v="0"/>
    <n v="6"/>
    <x v="1"/>
    <x v="2"/>
    <n v="2"/>
    <n v="2"/>
    <x v="3"/>
    <n v="2"/>
  </r>
  <r>
    <n v="42"/>
    <x v="1"/>
    <x v="0"/>
    <n v="532"/>
    <x v="1"/>
    <x v="18"/>
    <x v="0"/>
    <s v="Technical Degree"/>
    <n v="1"/>
    <n v="319"/>
    <n v="3"/>
    <x v="1"/>
    <n v="58"/>
    <x v="0"/>
    <n v="5"/>
    <x v="5"/>
    <n v="4"/>
    <x v="1"/>
    <n v="19232"/>
    <n v="4933"/>
    <n v="1"/>
    <s v="Y"/>
    <x v="1"/>
    <n v="11"/>
    <x v="0"/>
    <n v="4"/>
    <n v="80"/>
    <x v="0"/>
    <n v="22"/>
    <x v="1"/>
    <x v="1"/>
    <n v="22"/>
    <n v="17"/>
    <x v="14"/>
    <n v="15"/>
  </r>
  <r>
    <n v="59"/>
    <x v="1"/>
    <x v="0"/>
    <n v="818"/>
    <x v="2"/>
    <x v="16"/>
    <x v="0"/>
    <s v="Medical"/>
    <n v="1"/>
    <n v="321"/>
    <n v="2"/>
    <x v="1"/>
    <n v="52"/>
    <x v="0"/>
    <n v="1"/>
    <x v="8"/>
    <n v="3"/>
    <x v="1"/>
    <n v="2267"/>
    <n v="25657"/>
    <n v="8"/>
    <s v="Y"/>
    <x v="1"/>
    <n v="17"/>
    <x v="0"/>
    <n v="4"/>
    <n v="80"/>
    <x v="0"/>
    <n v="7"/>
    <x v="2"/>
    <x v="2"/>
    <n v="2"/>
    <n v="2"/>
    <x v="3"/>
    <n v="2"/>
  </r>
  <r>
    <n v="50"/>
    <x v="1"/>
    <x v="0"/>
    <n v="854"/>
    <x v="0"/>
    <x v="0"/>
    <x v="2"/>
    <s v="Medical"/>
    <n v="1"/>
    <n v="323"/>
    <n v="4"/>
    <x v="0"/>
    <n v="68"/>
    <x v="0"/>
    <n v="5"/>
    <x v="5"/>
    <n v="4"/>
    <x v="2"/>
    <n v="19517"/>
    <n v="24118"/>
    <n v="3"/>
    <s v="Y"/>
    <x v="1"/>
    <n v="11"/>
    <x v="0"/>
    <n v="3"/>
    <n v="80"/>
    <x v="1"/>
    <n v="32"/>
    <x v="1"/>
    <x v="2"/>
    <n v="7"/>
    <n v="0"/>
    <x v="0"/>
    <n v="6"/>
  </r>
  <r>
    <n v="33"/>
    <x v="0"/>
    <x v="0"/>
    <n v="813"/>
    <x v="1"/>
    <x v="24"/>
    <x v="3"/>
    <s v="Medical"/>
    <n v="1"/>
    <n v="325"/>
    <n v="3"/>
    <x v="1"/>
    <n v="58"/>
    <x v="0"/>
    <n v="1"/>
    <x v="2"/>
    <n v="4"/>
    <x v="1"/>
    <n v="2436"/>
    <n v="22149"/>
    <n v="5"/>
    <s v="Y"/>
    <x v="0"/>
    <n v="13"/>
    <x v="0"/>
    <n v="3"/>
    <n v="80"/>
    <x v="1"/>
    <n v="8"/>
    <x v="2"/>
    <x v="0"/>
    <n v="5"/>
    <n v="4"/>
    <x v="0"/>
    <n v="4"/>
  </r>
  <r>
    <n v="43"/>
    <x v="1"/>
    <x v="0"/>
    <n v="1034"/>
    <x v="0"/>
    <x v="7"/>
    <x v="3"/>
    <s v="Marketing"/>
    <n v="1"/>
    <n v="327"/>
    <n v="4"/>
    <x v="0"/>
    <n v="80"/>
    <x v="0"/>
    <n v="4"/>
    <x v="5"/>
    <n v="4"/>
    <x v="1"/>
    <n v="16064"/>
    <n v="7744"/>
    <n v="5"/>
    <s v="Y"/>
    <x v="0"/>
    <n v="22"/>
    <x v="1"/>
    <n v="3"/>
    <n v="80"/>
    <x v="1"/>
    <n v="22"/>
    <x v="1"/>
    <x v="1"/>
    <n v="17"/>
    <n v="13"/>
    <x v="1"/>
    <n v="9"/>
  </r>
  <r>
    <n v="33"/>
    <x v="0"/>
    <x v="0"/>
    <n v="465"/>
    <x v="1"/>
    <x v="2"/>
    <x v="0"/>
    <s v="Life Sciences"/>
    <n v="1"/>
    <n v="328"/>
    <n v="1"/>
    <x v="0"/>
    <n v="39"/>
    <x v="0"/>
    <n v="1"/>
    <x v="2"/>
    <n v="1"/>
    <x v="1"/>
    <n v="2707"/>
    <n v="21509"/>
    <n v="7"/>
    <s v="Y"/>
    <x v="1"/>
    <n v="20"/>
    <x v="1"/>
    <n v="1"/>
    <n v="80"/>
    <x v="0"/>
    <n v="13"/>
    <x v="1"/>
    <x v="3"/>
    <n v="9"/>
    <n v="7"/>
    <x v="1"/>
    <n v="7"/>
  </r>
  <r>
    <n v="52"/>
    <x v="1"/>
    <x v="2"/>
    <n v="771"/>
    <x v="0"/>
    <x v="2"/>
    <x v="2"/>
    <s v="Life Sciences"/>
    <n v="1"/>
    <n v="329"/>
    <n v="1"/>
    <x v="1"/>
    <n v="79"/>
    <x v="1"/>
    <n v="5"/>
    <x v="5"/>
    <n v="3"/>
    <x v="0"/>
    <n v="19068"/>
    <n v="21030"/>
    <n v="1"/>
    <s v="Y"/>
    <x v="0"/>
    <n v="18"/>
    <x v="0"/>
    <n v="4"/>
    <n v="80"/>
    <x v="0"/>
    <n v="33"/>
    <x v="2"/>
    <x v="3"/>
    <n v="33"/>
    <n v="7"/>
    <x v="9"/>
    <n v="12"/>
  </r>
  <r>
    <n v="32"/>
    <x v="1"/>
    <x v="0"/>
    <n v="1401"/>
    <x v="0"/>
    <x v="18"/>
    <x v="0"/>
    <s v="Life Sciences"/>
    <n v="1"/>
    <n v="330"/>
    <n v="3"/>
    <x v="0"/>
    <n v="56"/>
    <x v="0"/>
    <n v="1"/>
    <x v="6"/>
    <n v="2"/>
    <x v="1"/>
    <n v="3931"/>
    <n v="20990"/>
    <n v="2"/>
    <s v="Y"/>
    <x v="1"/>
    <n v="11"/>
    <x v="0"/>
    <n v="1"/>
    <n v="80"/>
    <x v="1"/>
    <n v="6"/>
    <x v="3"/>
    <x v="1"/>
    <n v="4"/>
    <n v="3"/>
    <x v="1"/>
    <n v="2"/>
  </r>
  <r>
    <n v="32"/>
    <x v="0"/>
    <x v="0"/>
    <n v="515"/>
    <x v="1"/>
    <x v="0"/>
    <x v="3"/>
    <s v="Life Sciences"/>
    <n v="1"/>
    <n v="331"/>
    <n v="4"/>
    <x v="1"/>
    <n v="62"/>
    <x v="1"/>
    <n v="1"/>
    <x v="2"/>
    <n v="3"/>
    <x v="0"/>
    <n v="3730"/>
    <n v="9571"/>
    <n v="0"/>
    <s v="Y"/>
    <x v="0"/>
    <n v="14"/>
    <x v="0"/>
    <n v="4"/>
    <n v="80"/>
    <x v="0"/>
    <n v="4"/>
    <x v="2"/>
    <x v="0"/>
    <n v="3"/>
    <n v="2"/>
    <x v="1"/>
    <n v="2"/>
  </r>
  <r>
    <n v="39"/>
    <x v="1"/>
    <x v="0"/>
    <n v="1431"/>
    <x v="1"/>
    <x v="0"/>
    <x v="2"/>
    <s v="Medical"/>
    <n v="1"/>
    <n v="332"/>
    <n v="3"/>
    <x v="0"/>
    <n v="96"/>
    <x v="0"/>
    <n v="1"/>
    <x v="2"/>
    <n v="3"/>
    <x v="2"/>
    <n v="2232"/>
    <n v="15417"/>
    <n v="7"/>
    <s v="Y"/>
    <x v="1"/>
    <n v="14"/>
    <x v="0"/>
    <n v="3"/>
    <n v="80"/>
    <x v="2"/>
    <n v="7"/>
    <x v="4"/>
    <x v="1"/>
    <n v="3"/>
    <n v="2"/>
    <x v="1"/>
    <n v="2"/>
  </r>
  <r>
    <n v="32"/>
    <x v="1"/>
    <x v="2"/>
    <n v="976"/>
    <x v="0"/>
    <x v="9"/>
    <x v="2"/>
    <s v="Marketing"/>
    <n v="1"/>
    <n v="333"/>
    <n v="3"/>
    <x v="1"/>
    <n v="100"/>
    <x v="0"/>
    <n v="2"/>
    <x v="0"/>
    <n v="4"/>
    <x v="1"/>
    <n v="4465"/>
    <n v="12069"/>
    <n v="0"/>
    <s v="Y"/>
    <x v="1"/>
    <n v="18"/>
    <x v="0"/>
    <n v="1"/>
    <n v="80"/>
    <x v="0"/>
    <n v="4"/>
    <x v="2"/>
    <x v="1"/>
    <n v="3"/>
    <n v="2"/>
    <x v="3"/>
    <n v="2"/>
  </r>
  <r>
    <n v="41"/>
    <x v="1"/>
    <x v="0"/>
    <n v="1411"/>
    <x v="1"/>
    <x v="10"/>
    <x v="0"/>
    <s v="Life Sciences"/>
    <n v="1"/>
    <n v="334"/>
    <n v="3"/>
    <x v="1"/>
    <n v="36"/>
    <x v="0"/>
    <n v="2"/>
    <x v="1"/>
    <n v="1"/>
    <x v="2"/>
    <n v="3072"/>
    <n v="19877"/>
    <n v="2"/>
    <s v="Y"/>
    <x v="1"/>
    <n v="16"/>
    <x v="0"/>
    <n v="1"/>
    <n v="80"/>
    <x v="3"/>
    <n v="17"/>
    <x v="2"/>
    <x v="2"/>
    <n v="1"/>
    <n v="0"/>
    <x v="0"/>
    <n v="0"/>
  </r>
  <r>
    <n v="40"/>
    <x v="1"/>
    <x v="0"/>
    <n v="1300"/>
    <x v="1"/>
    <x v="4"/>
    <x v="0"/>
    <s v="Technical Degree"/>
    <n v="1"/>
    <n v="335"/>
    <n v="1"/>
    <x v="1"/>
    <n v="62"/>
    <x v="0"/>
    <n v="2"/>
    <x v="1"/>
    <n v="4"/>
    <x v="2"/>
    <n v="3319"/>
    <n v="24447"/>
    <n v="1"/>
    <s v="Y"/>
    <x v="1"/>
    <n v="17"/>
    <x v="0"/>
    <n v="1"/>
    <n v="80"/>
    <x v="3"/>
    <n v="9"/>
    <x v="1"/>
    <x v="1"/>
    <n v="9"/>
    <n v="8"/>
    <x v="5"/>
    <n v="7"/>
  </r>
  <r>
    <n v="45"/>
    <x v="1"/>
    <x v="0"/>
    <n v="252"/>
    <x v="1"/>
    <x v="0"/>
    <x v="3"/>
    <s v="Other"/>
    <n v="1"/>
    <n v="336"/>
    <n v="3"/>
    <x v="1"/>
    <n v="70"/>
    <x v="2"/>
    <n v="5"/>
    <x v="5"/>
    <n v="4"/>
    <x v="1"/>
    <n v="19202"/>
    <n v="15970"/>
    <n v="0"/>
    <s v="Y"/>
    <x v="1"/>
    <n v="11"/>
    <x v="0"/>
    <n v="3"/>
    <n v="80"/>
    <x v="1"/>
    <n v="25"/>
    <x v="2"/>
    <x v="1"/>
    <n v="24"/>
    <n v="0"/>
    <x v="1"/>
    <n v="7"/>
  </r>
  <r>
    <n v="31"/>
    <x v="1"/>
    <x v="1"/>
    <n v="1327"/>
    <x v="1"/>
    <x v="3"/>
    <x v="2"/>
    <s v="Medical"/>
    <n v="1"/>
    <n v="337"/>
    <n v="2"/>
    <x v="1"/>
    <n v="73"/>
    <x v="0"/>
    <n v="3"/>
    <x v="7"/>
    <n v="3"/>
    <x v="2"/>
    <n v="13675"/>
    <n v="13523"/>
    <n v="9"/>
    <s v="Y"/>
    <x v="1"/>
    <n v="12"/>
    <x v="0"/>
    <n v="1"/>
    <n v="80"/>
    <x v="1"/>
    <n v="9"/>
    <x v="1"/>
    <x v="1"/>
    <n v="2"/>
    <n v="2"/>
    <x v="3"/>
    <n v="2"/>
  </r>
  <r>
    <n v="33"/>
    <x v="1"/>
    <x v="0"/>
    <n v="832"/>
    <x v="1"/>
    <x v="12"/>
    <x v="2"/>
    <s v="Life Sciences"/>
    <n v="1"/>
    <n v="338"/>
    <n v="3"/>
    <x v="0"/>
    <n v="63"/>
    <x v="1"/>
    <n v="1"/>
    <x v="1"/>
    <n v="4"/>
    <x v="1"/>
    <n v="2911"/>
    <n v="14776"/>
    <n v="1"/>
    <s v="Y"/>
    <x v="1"/>
    <n v="13"/>
    <x v="0"/>
    <n v="3"/>
    <n v="80"/>
    <x v="1"/>
    <n v="2"/>
    <x v="2"/>
    <x v="2"/>
    <n v="2"/>
    <n v="2"/>
    <x v="0"/>
    <n v="2"/>
  </r>
  <r>
    <n v="34"/>
    <x v="1"/>
    <x v="0"/>
    <n v="470"/>
    <x v="1"/>
    <x v="2"/>
    <x v="2"/>
    <s v="Life Sciences"/>
    <n v="1"/>
    <n v="339"/>
    <n v="4"/>
    <x v="1"/>
    <n v="84"/>
    <x v="1"/>
    <n v="2"/>
    <x v="3"/>
    <n v="1"/>
    <x v="1"/>
    <n v="5957"/>
    <n v="23687"/>
    <n v="6"/>
    <s v="Y"/>
    <x v="1"/>
    <n v="13"/>
    <x v="0"/>
    <n v="2"/>
    <n v="80"/>
    <x v="1"/>
    <n v="13"/>
    <x v="1"/>
    <x v="1"/>
    <n v="11"/>
    <n v="9"/>
    <x v="8"/>
    <n v="9"/>
  </r>
  <r>
    <n v="37"/>
    <x v="1"/>
    <x v="0"/>
    <n v="1017"/>
    <x v="1"/>
    <x v="0"/>
    <x v="0"/>
    <s v="Medical"/>
    <n v="1"/>
    <n v="340"/>
    <n v="3"/>
    <x v="0"/>
    <n v="83"/>
    <x v="1"/>
    <n v="1"/>
    <x v="1"/>
    <n v="1"/>
    <x v="1"/>
    <n v="3920"/>
    <n v="18697"/>
    <n v="2"/>
    <s v="Y"/>
    <x v="1"/>
    <n v="14"/>
    <x v="0"/>
    <n v="1"/>
    <n v="80"/>
    <x v="1"/>
    <n v="17"/>
    <x v="2"/>
    <x v="2"/>
    <n v="3"/>
    <n v="1"/>
    <x v="0"/>
    <n v="2"/>
  </r>
  <r>
    <n v="45"/>
    <x v="1"/>
    <x v="1"/>
    <n v="1199"/>
    <x v="1"/>
    <x v="15"/>
    <x v="2"/>
    <s v="Life Sciences"/>
    <n v="1"/>
    <n v="341"/>
    <n v="1"/>
    <x v="1"/>
    <n v="77"/>
    <x v="2"/>
    <n v="2"/>
    <x v="3"/>
    <n v="3"/>
    <x v="1"/>
    <n v="6434"/>
    <n v="5118"/>
    <n v="4"/>
    <s v="Y"/>
    <x v="1"/>
    <n v="17"/>
    <x v="0"/>
    <n v="4"/>
    <n v="80"/>
    <x v="1"/>
    <n v="9"/>
    <x v="4"/>
    <x v="1"/>
    <n v="3"/>
    <n v="2"/>
    <x v="0"/>
    <n v="2"/>
  </r>
  <r>
    <n v="37"/>
    <x v="0"/>
    <x v="1"/>
    <n v="504"/>
    <x v="1"/>
    <x v="17"/>
    <x v="3"/>
    <s v="Medical"/>
    <n v="1"/>
    <n v="342"/>
    <n v="1"/>
    <x v="1"/>
    <n v="61"/>
    <x v="0"/>
    <n v="3"/>
    <x v="3"/>
    <n v="3"/>
    <x v="2"/>
    <n v="10048"/>
    <n v="22573"/>
    <n v="6"/>
    <s v="Y"/>
    <x v="1"/>
    <n v="11"/>
    <x v="0"/>
    <n v="2"/>
    <n v="80"/>
    <x v="3"/>
    <n v="17"/>
    <x v="3"/>
    <x v="1"/>
    <n v="1"/>
    <n v="0"/>
    <x v="0"/>
    <n v="0"/>
  </r>
  <r>
    <n v="39"/>
    <x v="1"/>
    <x v="1"/>
    <n v="505"/>
    <x v="1"/>
    <x v="2"/>
    <x v="2"/>
    <s v="Technical Degree"/>
    <n v="1"/>
    <n v="343"/>
    <n v="3"/>
    <x v="0"/>
    <n v="64"/>
    <x v="0"/>
    <n v="3"/>
    <x v="4"/>
    <n v="3"/>
    <x v="0"/>
    <n v="10938"/>
    <n v="6420"/>
    <n v="0"/>
    <s v="Y"/>
    <x v="1"/>
    <n v="25"/>
    <x v="1"/>
    <n v="4"/>
    <n v="80"/>
    <x v="0"/>
    <n v="20"/>
    <x v="4"/>
    <x v="1"/>
    <n v="19"/>
    <n v="6"/>
    <x v="14"/>
    <n v="8"/>
  </r>
  <r>
    <n v="29"/>
    <x v="1"/>
    <x v="0"/>
    <n v="665"/>
    <x v="1"/>
    <x v="8"/>
    <x v="3"/>
    <s v="Life Sciences"/>
    <n v="1"/>
    <n v="346"/>
    <n v="3"/>
    <x v="1"/>
    <n v="60"/>
    <x v="0"/>
    <n v="1"/>
    <x v="1"/>
    <n v="4"/>
    <x v="0"/>
    <n v="2340"/>
    <n v="22673"/>
    <n v="1"/>
    <s v="Y"/>
    <x v="1"/>
    <n v="19"/>
    <x v="0"/>
    <n v="1"/>
    <n v="80"/>
    <x v="0"/>
    <n v="6"/>
    <x v="4"/>
    <x v="1"/>
    <n v="6"/>
    <n v="5"/>
    <x v="1"/>
    <n v="5"/>
  </r>
  <r>
    <n v="42"/>
    <x v="1"/>
    <x v="0"/>
    <n v="916"/>
    <x v="1"/>
    <x v="27"/>
    <x v="0"/>
    <s v="Life Sciences"/>
    <n v="1"/>
    <n v="347"/>
    <n v="4"/>
    <x v="0"/>
    <n v="82"/>
    <x v="2"/>
    <n v="2"/>
    <x v="1"/>
    <n v="1"/>
    <x v="0"/>
    <n v="6545"/>
    <n v="23016"/>
    <n v="3"/>
    <s v="Y"/>
    <x v="0"/>
    <n v="13"/>
    <x v="0"/>
    <n v="3"/>
    <n v="80"/>
    <x v="0"/>
    <n v="10"/>
    <x v="4"/>
    <x v="1"/>
    <n v="3"/>
    <n v="2"/>
    <x v="0"/>
    <n v="2"/>
  </r>
  <r>
    <n v="29"/>
    <x v="1"/>
    <x v="0"/>
    <n v="1247"/>
    <x v="0"/>
    <x v="25"/>
    <x v="0"/>
    <s v="Marketing"/>
    <n v="1"/>
    <n v="349"/>
    <n v="4"/>
    <x v="1"/>
    <n v="45"/>
    <x v="0"/>
    <n v="2"/>
    <x v="0"/>
    <n v="4"/>
    <x v="2"/>
    <n v="6931"/>
    <n v="10732"/>
    <n v="2"/>
    <s v="Y"/>
    <x v="1"/>
    <n v="14"/>
    <x v="0"/>
    <n v="4"/>
    <n v="80"/>
    <x v="1"/>
    <n v="10"/>
    <x v="2"/>
    <x v="1"/>
    <n v="3"/>
    <n v="2"/>
    <x v="0"/>
    <n v="2"/>
  </r>
  <r>
    <n v="25"/>
    <x v="1"/>
    <x v="0"/>
    <n v="685"/>
    <x v="1"/>
    <x v="0"/>
    <x v="3"/>
    <s v="Life Sciences"/>
    <n v="1"/>
    <n v="350"/>
    <n v="1"/>
    <x v="0"/>
    <n v="62"/>
    <x v="0"/>
    <n v="2"/>
    <x v="3"/>
    <n v="3"/>
    <x v="1"/>
    <n v="4898"/>
    <n v="7505"/>
    <n v="0"/>
    <s v="Y"/>
    <x v="1"/>
    <n v="12"/>
    <x v="0"/>
    <n v="4"/>
    <n v="80"/>
    <x v="3"/>
    <n v="5"/>
    <x v="1"/>
    <x v="1"/>
    <n v="4"/>
    <n v="2"/>
    <x v="1"/>
    <n v="2"/>
  </r>
  <r>
    <n v="42"/>
    <x v="1"/>
    <x v="0"/>
    <n v="269"/>
    <x v="1"/>
    <x v="2"/>
    <x v="3"/>
    <s v="Medical"/>
    <n v="1"/>
    <n v="351"/>
    <n v="4"/>
    <x v="0"/>
    <n v="56"/>
    <x v="1"/>
    <n v="1"/>
    <x v="2"/>
    <n v="1"/>
    <x v="2"/>
    <n v="2593"/>
    <n v="8007"/>
    <n v="0"/>
    <s v="Y"/>
    <x v="0"/>
    <n v="11"/>
    <x v="0"/>
    <n v="3"/>
    <n v="80"/>
    <x v="1"/>
    <n v="10"/>
    <x v="5"/>
    <x v="1"/>
    <n v="9"/>
    <n v="6"/>
    <x v="4"/>
    <n v="8"/>
  </r>
  <r>
    <n v="40"/>
    <x v="1"/>
    <x v="0"/>
    <n v="1416"/>
    <x v="1"/>
    <x v="2"/>
    <x v="0"/>
    <s v="Medical"/>
    <n v="1"/>
    <n v="352"/>
    <n v="1"/>
    <x v="1"/>
    <n v="49"/>
    <x v="0"/>
    <n v="5"/>
    <x v="7"/>
    <n v="3"/>
    <x v="2"/>
    <n v="19436"/>
    <n v="5949"/>
    <n v="0"/>
    <s v="Y"/>
    <x v="1"/>
    <n v="19"/>
    <x v="0"/>
    <n v="4"/>
    <n v="80"/>
    <x v="1"/>
    <n v="22"/>
    <x v="3"/>
    <x v="1"/>
    <n v="21"/>
    <n v="7"/>
    <x v="2"/>
    <n v="9"/>
  </r>
  <r>
    <n v="51"/>
    <x v="1"/>
    <x v="0"/>
    <n v="833"/>
    <x v="1"/>
    <x v="0"/>
    <x v="3"/>
    <s v="Life Sciences"/>
    <n v="1"/>
    <n v="353"/>
    <n v="3"/>
    <x v="1"/>
    <n v="96"/>
    <x v="0"/>
    <n v="1"/>
    <x v="1"/>
    <n v="4"/>
    <x v="1"/>
    <n v="2723"/>
    <n v="23231"/>
    <n v="1"/>
    <s v="Y"/>
    <x v="1"/>
    <n v="11"/>
    <x v="0"/>
    <n v="2"/>
    <n v="80"/>
    <x v="0"/>
    <n v="1"/>
    <x v="0"/>
    <x v="2"/>
    <n v="1"/>
    <n v="0"/>
    <x v="0"/>
    <n v="0"/>
  </r>
  <r>
    <n v="31"/>
    <x v="0"/>
    <x v="1"/>
    <n v="307"/>
    <x v="1"/>
    <x v="22"/>
    <x v="0"/>
    <s v="Medical"/>
    <n v="1"/>
    <n v="355"/>
    <n v="3"/>
    <x v="1"/>
    <n v="71"/>
    <x v="1"/>
    <n v="1"/>
    <x v="2"/>
    <n v="2"/>
    <x v="0"/>
    <n v="3479"/>
    <n v="11652"/>
    <n v="0"/>
    <s v="Y"/>
    <x v="1"/>
    <n v="11"/>
    <x v="0"/>
    <n v="2"/>
    <n v="80"/>
    <x v="0"/>
    <n v="6"/>
    <x v="2"/>
    <x v="3"/>
    <n v="5"/>
    <n v="4"/>
    <x v="1"/>
    <n v="4"/>
  </r>
  <r>
    <n v="32"/>
    <x v="1"/>
    <x v="1"/>
    <n v="1311"/>
    <x v="1"/>
    <x v="15"/>
    <x v="3"/>
    <s v="Life Sciences"/>
    <n v="1"/>
    <n v="359"/>
    <n v="2"/>
    <x v="1"/>
    <n v="100"/>
    <x v="2"/>
    <n v="1"/>
    <x v="2"/>
    <n v="2"/>
    <x v="1"/>
    <n v="2794"/>
    <n v="26062"/>
    <n v="1"/>
    <s v="Y"/>
    <x v="1"/>
    <n v="20"/>
    <x v="1"/>
    <n v="3"/>
    <n v="80"/>
    <x v="0"/>
    <n v="5"/>
    <x v="1"/>
    <x v="0"/>
    <n v="5"/>
    <n v="1"/>
    <x v="0"/>
    <n v="3"/>
  </r>
  <r>
    <n v="38"/>
    <x v="1"/>
    <x v="2"/>
    <n v="1327"/>
    <x v="0"/>
    <x v="2"/>
    <x v="0"/>
    <s v="Life Sciences"/>
    <n v="1"/>
    <n v="361"/>
    <n v="4"/>
    <x v="1"/>
    <n v="39"/>
    <x v="1"/>
    <n v="2"/>
    <x v="0"/>
    <n v="4"/>
    <x v="1"/>
    <n v="5249"/>
    <n v="19682"/>
    <n v="3"/>
    <s v="Y"/>
    <x v="1"/>
    <n v="18"/>
    <x v="0"/>
    <n v="4"/>
    <n v="80"/>
    <x v="1"/>
    <n v="13"/>
    <x v="0"/>
    <x v="1"/>
    <n v="8"/>
    <n v="7"/>
    <x v="4"/>
    <n v="5"/>
  </r>
  <r>
    <n v="32"/>
    <x v="1"/>
    <x v="0"/>
    <n v="128"/>
    <x v="1"/>
    <x v="2"/>
    <x v="1"/>
    <s v="Technical Degree"/>
    <n v="1"/>
    <n v="362"/>
    <n v="4"/>
    <x v="1"/>
    <n v="84"/>
    <x v="1"/>
    <n v="2"/>
    <x v="2"/>
    <n v="1"/>
    <x v="0"/>
    <n v="2176"/>
    <n v="19737"/>
    <n v="4"/>
    <s v="Y"/>
    <x v="1"/>
    <n v="13"/>
    <x v="0"/>
    <n v="4"/>
    <n v="80"/>
    <x v="0"/>
    <n v="9"/>
    <x v="3"/>
    <x v="1"/>
    <n v="6"/>
    <n v="2"/>
    <x v="0"/>
    <n v="4"/>
  </r>
  <r>
    <n v="46"/>
    <x v="1"/>
    <x v="0"/>
    <n v="488"/>
    <x v="0"/>
    <x v="2"/>
    <x v="3"/>
    <s v="Technical Degree"/>
    <n v="1"/>
    <n v="363"/>
    <n v="3"/>
    <x v="0"/>
    <n v="75"/>
    <x v="3"/>
    <n v="4"/>
    <x v="5"/>
    <n v="2"/>
    <x v="1"/>
    <n v="16872"/>
    <n v="14977"/>
    <n v="3"/>
    <s v="Y"/>
    <x v="0"/>
    <n v="12"/>
    <x v="0"/>
    <n v="2"/>
    <n v="80"/>
    <x v="1"/>
    <n v="28"/>
    <x v="2"/>
    <x v="2"/>
    <n v="7"/>
    <n v="7"/>
    <x v="4"/>
    <n v="7"/>
  </r>
  <r>
    <n v="28"/>
    <x v="0"/>
    <x v="0"/>
    <n v="529"/>
    <x v="1"/>
    <x v="2"/>
    <x v="2"/>
    <s v="Life Sciences"/>
    <n v="1"/>
    <n v="364"/>
    <n v="1"/>
    <x v="1"/>
    <n v="79"/>
    <x v="0"/>
    <n v="1"/>
    <x v="2"/>
    <n v="3"/>
    <x v="0"/>
    <n v="3485"/>
    <n v="14935"/>
    <n v="2"/>
    <s v="Y"/>
    <x v="1"/>
    <n v="11"/>
    <x v="0"/>
    <n v="3"/>
    <n v="80"/>
    <x v="0"/>
    <n v="5"/>
    <x v="3"/>
    <x v="0"/>
    <n v="0"/>
    <n v="0"/>
    <x v="0"/>
    <n v="0"/>
  </r>
  <r>
    <n v="29"/>
    <x v="1"/>
    <x v="0"/>
    <n v="1210"/>
    <x v="0"/>
    <x v="2"/>
    <x v="3"/>
    <s v="Medical"/>
    <n v="1"/>
    <n v="366"/>
    <n v="1"/>
    <x v="1"/>
    <n v="78"/>
    <x v="1"/>
    <n v="2"/>
    <x v="0"/>
    <n v="2"/>
    <x v="1"/>
    <n v="6644"/>
    <n v="3687"/>
    <n v="2"/>
    <s v="Y"/>
    <x v="1"/>
    <n v="19"/>
    <x v="0"/>
    <n v="2"/>
    <n v="80"/>
    <x v="3"/>
    <n v="10"/>
    <x v="2"/>
    <x v="1"/>
    <n v="0"/>
    <n v="0"/>
    <x v="0"/>
    <n v="0"/>
  </r>
  <r>
    <n v="31"/>
    <x v="1"/>
    <x v="0"/>
    <n v="1463"/>
    <x v="1"/>
    <x v="5"/>
    <x v="3"/>
    <s v="Medical"/>
    <n v="1"/>
    <n v="367"/>
    <n v="2"/>
    <x v="1"/>
    <n v="64"/>
    <x v="1"/>
    <n v="2"/>
    <x v="4"/>
    <n v="4"/>
    <x v="1"/>
    <n v="5582"/>
    <n v="14408"/>
    <n v="0"/>
    <s v="Y"/>
    <x v="1"/>
    <n v="21"/>
    <x v="1"/>
    <n v="2"/>
    <n v="80"/>
    <x v="1"/>
    <n v="10"/>
    <x v="2"/>
    <x v="1"/>
    <n v="9"/>
    <n v="0"/>
    <x v="4"/>
    <n v="8"/>
  </r>
  <r>
    <n v="25"/>
    <x v="1"/>
    <x v="2"/>
    <n v="675"/>
    <x v="1"/>
    <x v="12"/>
    <x v="0"/>
    <s v="Life Sciences"/>
    <n v="1"/>
    <n v="369"/>
    <n v="2"/>
    <x v="1"/>
    <n v="85"/>
    <x v="2"/>
    <n v="2"/>
    <x v="4"/>
    <n v="1"/>
    <x v="2"/>
    <n v="4000"/>
    <n v="18384"/>
    <n v="1"/>
    <s v="Y"/>
    <x v="1"/>
    <n v="12"/>
    <x v="0"/>
    <n v="4"/>
    <n v="80"/>
    <x v="3"/>
    <n v="6"/>
    <x v="2"/>
    <x v="1"/>
    <n v="6"/>
    <n v="3"/>
    <x v="1"/>
    <n v="5"/>
  </r>
  <r>
    <n v="45"/>
    <x v="1"/>
    <x v="0"/>
    <n v="1385"/>
    <x v="1"/>
    <x v="25"/>
    <x v="0"/>
    <s v="Medical"/>
    <n v="1"/>
    <n v="372"/>
    <n v="3"/>
    <x v="1"/>
    <n v="79"/>
    <x v="0"/>
    <n v="4"/>
    <x v="4"/>
    <n v="4"/>
    <x v="1"/>
    <n v="13496"/>
    <n v="7501"/>
    <n v="0"/>
    <s v="Y"/>
    <x v="0"/>
    <n v="14"/>
    <x v="0"/>
    <n v="2"/>
    <n v="80"/>
    <x v="0"/>
    <n v="21"/>
    <x v="2"/>
    <x v="1"/>
    <n v="20"/>
    <n v="7"/>
    <x v="5"/>
    <n v="10"/>
  </r>
  <r>
    <n v="36"/>
    <x v="1"/>
    <x v="0"/>
    <n v="1403"/>
    <x v="1"/>
    <x v="16"/>
    <x v="3"/>
    <s v="Life Sciences"/>
    <n v="1"/>
    <n v="373"/>
    <n v="4"/>
    <x v="1"/>
    <n v="47"/>
    <x v="0"/>
    <n v="1"/>
    <x v="2"/>
    <n v="4"/>
    <x v="1"/>
    <n v="3210"/>
    <n v="20251"/>
    <n v="0"/>
    <s v="Y"/>
    <x v="1"/>
    <n v="11"/>
    <x v="0"/>
    <n v="3"/>
    <n v="80"/>
    <x v="1"/>
    <n v="16"/>
    <x v="5"/>
    <x v="1"/>
    <n v="15"/>
    <n v="13"/>
    <x v="13"/>
    <n v="11"/>
  </r>
  <r>
    <n v="55"/>
    <x v="1"/>
    <x v="0"/>
    <n v="452"/>
    <x v="1"/>
    <x v="0"/>
    <x v="3"/>
    <s v="Medical"/>
    <n v="1"/>
    <n v="374"/>
    <n v="4"/>
    <x v="1"/>
    <n v="81"/>
    <x v="0"/>
    <n v="5"/>
    <x v="5"/>
    <n v="1"/>
    <x v="0"/>
    <n v="19045"/>
    <n v="18938"/>
    <n v="0"/>
    <s v="Y"/>
    <x v="0"/>
    <n v="14"/>
    <x v="0"/>
    <n v="3"/>
    <n v="80"/>
    <x v="0"/>
    <n v="37"/>
    <x v="2"/>
    <x v="1"/>
    <n v="36"/>
    <n v="10"/>
    <x v="5"/>
    <n v="13"/>
  </r>
  <r>
    <n v="47"/>
    <x v="0"/>
    <x v="2"/>
    <n v="666"/>
    <x v="1"/>
    <x v="22"/>
    <x v="2"/>
    <s v="Life Sciences"/>
    <n v="1"/>
    <n v="376"/>
    <n v="1"/>
    <x v="1"/>
    <n v="88"/>
    <x v="0"/>
    <n v="3"/>
    <x v="5"/>
    <n v="2"/>
    <x v="1"/>
    <n v="11849"/>
    <n v="10268"/>
    <n v="1"/>
    <s v="Y"/>
    <x v="0"/>
    <n v="12"/>
    <x v="0"/>
    <n v="4"/>
    <n v="80"/>
    <x v="1"/>
    <n v="10"/>
    <x v="2"/>
    <x v="2"/>
    <n v="10"/>
    <n v="7"/>
    <x v="10"/>
    <n v="9"/>
  </r>
  <r>
    <n v="28"/>
    <x v="1"/>
    <x v="0"/>
    <n v="1158"/>
    <x v="1"/>
    <x v="14"/>
    <x v="3"/>
    <s v="Medical"/>
    <n v="1"/>
    <n v="377"/>
    <n v="4"/>
    <x v="1"/>
    <n v="94"/>
    <x v="0"/>
    <n v="1"/>
    <x v="1"/>
    <n v="4"/>
    <x v="1"/>
    <n v="2070"/>
    <n v="2613"/>
    <n v="1"/>
    <s v="Y"/>
    <x v="1"/>
    <n v="23"/>
    <x v="1"/>
    <n v="4"/>
    <n v="80"/>
    <x v="1"/>
    <n v="5"/>
    <x v="1"/>
    <x v="2"/>
    <n v="5"/>
    <n v="2"/>
    <x v="0"/>
    <n v="4"/>
  </r>
  <r>
    <n v="37"/>
    <x v="1"/>
    <x v="0"/>
    <n v="228"/>
    <x v="0"/>
    <x v="16"/>
    <x v="2"/>
    <s v="Medical"/>
    <n v="1"/>
    <n v="378"/>
    <n v="3"/>
    <x v="1"/>
    <n v="98"/>
    <x v="0"/>
    <n v="2"/>
    <x v="0"/>
    <n v="4"/>
    <x v="1"/>
    <n v="6502"/>
    <n v="22825"/>
    <n v="4"/>
    <s v="Y"/>
    <x v="1"/>
    <n v="14"/>
    <x v="0"/>
    <n v="2"/>
    <n v="80"/>
    <x v="1"/>
    <n v="7"/>
    <x v="3"/>
    <x v="3"/>
    <n v="5"/>
    <n v="4"/>
    <x v="0"/>
    <n v="1"/>
  </r>
  <r>
    <n v="21"/>
    <x v="1"/>
    <x v="0"/>
    <n v="996"/>
    <x v="1"/>
    <x v="3"/>
    <x v="0"/>
    <s v="Medical"/>
    <n v="1"/>
    <n v="379"/>
    <n v="4"/>
    <x v="1"/>
    <n v="100"/>
    <x v="1"/>
    <n v="1"/>
    <x v="1"/>
    <n v="3"/>
    <x v="0"/>
    <n v="3230"/>
    <n v="10531"/>
    <n v="1"/>
    <s v="Y"/>
    <x v="1"/>
    <n v="17"/>
    <x v="0"/>
    <n v="1"/>
    <n v="80"/>
    <x v="0"/>
    <n v="3"/>
    <x v="5"/>
    <x v="3"/>
    <n v="3"/>
    <n v="2"/>
    <x v="1"/>
    <n v="0"/>
  </r>
  <r>
    <n v="37"/>
    <x v="1"/>
    <x v="2"/>
    <n v="728"/>
    <x v="1"/>
    <x v="0"/>
    <x v="2"/>
    <s v="Medical"/>
    <n v="1"/>
    <n v="380"/>
    <n v="1"/>
    <x v="0"/>
    <n v="80"/>
    <x v="0"/>
    <n v="3"/>
    <x v="7"/>
    <n v="4"/>
    <x v="2"/>
    <n v="13603"/>
    <n v="11677"/>
    <n v="2"/>
    <s v="Y"/>
    <x v="0"/>
    <n v="18"/>
    <x v="0"/>
    <n v="1"/>
    <n v="80"/>
    <x v="3"/>
    <n v="15"/>
    <x v="2"/>
    <x v="1"/>
    <n v="5"/>
    <n v="2"/>
    <x v="0"/>
    <n v="2"/>
  </r>
  <r>
    <n v="35"/>
    <x v="1"/>
    <x v="0"/>
    <n v="1315"/>
    <x v="1"/>
    <x v="23"/>
    <x v="3"/>
    <s v="Life Sciences"/>
    <n v="1"/>
    <n v="381"/>
    <n v="2"/>
    <x v="0"/>
    <n v="71"/>
    <x v="2"/>
    <n v="3"/>
    <x v="5"/>
    <n v="2"/>
    <x v="2"/>
    <n v="11996"/>
    <n v="19100"/>
    <n v="7"/>
    <s v="Y"/>
    <x v="1"/>
    <n v="18"/>
    <x v="0"/>
    <n v="2"/>
    <n v="80"/>
    <x v="1"/>
    <n v="10"/>
    <x v="6"/>
    <x v="2"/>
    <n v="7"/>
    <n v="7"/>
    <x v="7"/>
    <n v="2"/>
  </r>
  <r>
    <n v="38"/>
    <x v="1"/>
    <x v="0"/>
    <n v="322"/>
    <x v="0"/>
    <x v="15"/>
    <x v="0"/>
    <s v="Medical"/>
    <n v="1"/>
    <n v="382"/>
    <n v="1"/>
    <x v="0"/>
    <n v="44"/>
    <x v="2"/>
    <n v="2"/>
    <x v="0"/>
    <n v="1"/>
    <x v="2"/>
    <n v="5605"/>
    <n v="19191"/>
    <n v="1"/>
    <s v="Y"/>
    <x v="0"/>
    <n v="24"/>
    <x v="1"/>
    <n v="3"/>
    <n v="80"/>
    <x v="1"/>
    <n v="8"/>
    <x v="1"/>
    <x v="1"/>
    <n v="8"/>
    <n v="0"/>
    <x v="4"/>
    <n v="7"/>
  </r>
  <r>
    <n v="26"/>
    <x v="1"/>
    <x v="1"/>
    <n v="1479"/>
    <x v="1"/>
    <x v="0"/>
    <x v="3"/>
    <s v="Life Sciences"/>
    <n v="1"/>
    <n v="384"/>
    <n v="3"/>
    <x v="0"/>
    <n v="84"/>
    <x v="0"/>
    <n v="2"/>
    <x v="3"/>
    <n v="2"/>
    <x v="2"/>
    <n v="6397"/>
    <n v="26767"/>
    <n v="1"/>
    <s v="Y"/>
    <x v="1"/>
    <n v="20"/>
    <x v="1"/>
    <n v="1"/>
    <n v="80"/>
    <x v="1"/>
    <n v="6"/>
    <x v="6"/>
    <x v="0"/>
    <n v="6"/>
    <n v="5"/>
    <x v="1"/>
    <n v="4"/>
  </r>
  <r>
    <n v="50"/>
    <x v="1"/>
    <x v="0"/>
    <n v="797"/>
    <x v="1"/>
    <x v="18"/>
    <x v="1"/>
    <s v="Life Sciences"/>
    <n v="1"/>
    <n v="385"/>
    <n v="1"/>
    <x v="1"/>
    <n v="96"/>
    <x v="0"/>
    <n v="5"/>
    <x v="7"/>
    <n v="2"/>
    <x v="2"/>
    <n v="19144"/>
    <n v="15815"/>
    <n v="3"/>
    <s v="Y"/>
    <x v="1"/>
    <n v="14"/>
    <x v="0"/>
    <n v="1"/>
    <n v="80"/>
    <x v="3"/>
    <n v="28"/>
    <x v="5"/>
    <x v="2"/>
    <n v="10"/>
    <n v="4"/>
    <x v="1"/>
    <n v="6"/>
  </r>
  <r>
    <n v="53"/>
    <x v="1"/>
    <x v="0"/>
    <n v="1070"/>
    <x v="1"/>
    <x v="3"/>
    <x v="2"/>
    <s v="Medical"/>
    <n v="1"/>
    <n v="386"/>
    <n v="3"/>
    <x v="1"/>
    <n v="45"/>
    <x v="0"/>
    <n v="4"/>
    <x v="7"/>
    <n v="3"/>
    <x v="1"/>
    <n v="17584"/>
    <n v="21016"/>
    <n v="3"/>
    <s v="Y"/>
    <x v="0"/>
    <n v="16"/>
    <x v="0"/>
    <n v="4"/>
    <n v="80"/>
    <x v="2"/>
    <n v="21"/>
    <x v="3"/>
    <x v="2"/>
    <n v="5"/>
    <n v="3"/>
    <x v="1"/>
    <n v="3"/>
  </r>
  <r>
    <n v="42"/>
    <x v="1"/>
    <x v="0"/>
    <n v="635"/>
    <x v="0"/>
    <x v="0"/>
    <x v="1"/>
    <s v="Life Sciences"/>
    <n v="1"/>
    <n v="387"/>
    <n v="2"/>
    <x v="1"/>
    <n v="99"/>
    <x v="0"/>
    <n v="2"/>
    <x v="0"/>
    <n v="3"/>
    <x v="1"/>
    <n v="4907"/>
    <n v="24532"/>
    <n v="1"/>
    <s v="Y"/>
    <x v="1"/>
    <n v="25"/>
    <x v="1"/>
    <n v="3"/>
    <n v="80"/>
    <x v="0"/>
    <n v="20"/>
    <x v="1"/>
    <x v="1"/>
    <n v="20"/>
    <n v="16"/>
    <x v="14"/>
    <n v="6"/>
  </r>
  <r>
    <n v="29"/>
    <x v="1"/>
    <x v="1"/>
    <n v="442"/>
    <x v="0"/>
    <x v="2"/>
    <x v="0"/>
    <s v="Life Sciences"/>
    <n v="1"/>
    <n v="388"/>
    <n v="2"/>
    <x v="1"/>
    <n v="44"/>
    <x v="0"/>
    <n v="2"/>
    <x v="0"/>
    <n v="4"/>
    <x v="0"/>
    <n v="4554"/>
    <n v="20260"/>
    <n v="1"/>
    <s v="Y"/>
    <x v="1"/>
    <n v="18"/>
    <x v="0"/>
    <n v="1"/>
    <n v="80"/>
    <x v="0"/>
    <n v="10"/>
    <x v="1"/>
    <x v="2"/>
    <n v="10"/>
    <n v="7"/>
    <x v="0"/>
    <n v="9"/>
  </r>
  <r>
    <n v="55"/>
    <x v="1"/>
    <x v="0"/>
    <n v="147"/>
    <x v="1"/>
    <x v="25"/>
    <x v="0"/>
    <s v="Technical Degree"/>
    <n v="1"/>
    <n v="389"/>
    <n v="2"/>
    <x v="1"/>
    <n v="37"/>
    <x v="0"/>
    <n v="2"/>
    <x v="2"/>
    <n v="4"/>
    <x v="1"/>
    <n v="5415"/>
    <n v="15972"/>
    <n v="3"/>
    <s v="Y"/>
    <x v="0"/>
    <n v="19"/>
    <x v="0"/>
    <n v="4"/>
    <n v="80"/>
    <x v="1"/>
    <n v="12"/>
    <x v="5"/>
    <x v="1"/>
    <n v="10"/>
    <n v="7"/>
    <x v="0"/>
    <n v="8"/>
  </r>
  <r>
    <n v="26"/>
    <x v="1"/>
    <x v="1"/>
    <n v="496"/>
    <x v="1"/>
    <x v="13"/>
    <x v="0"/>
    <s v="Medical"/>
    <n v="1"/>
    <n v="390"/>
    <n v="1"/>
    <x v="1"/>
    <n v="60"/>
    <x v="0"/>
    <n v="2"/>
    <x v="4"/>
    <n v="1"/>
    <x v="1"/>
    <n v="4741"/>
    <n v="22722"/>
    <n v="1"/>
    <s v="Y"/>
    <x v="0"/>
    <n v="13"/>
    <x v="0"/>
    <n v="3"/>
    <n v="80"/>
    <x v="1"/>
    <n v="5"/>
    <x v="1"/>
    <x v="1"/>
    <n v="5"/>
    <n v="3"/>
    <x v="2"/>
    <n v="3"/>
  </r>
  <r>
    <n v="37"/>
    <x v="1"/>
    <x v="0"/>
    <n v="1372"/>
    <x v="1"/>
    <x v="0"/>
    <x v="3"/>
    <s v="Life Sciences"/>
    <n v="1"/>
    <n v="391"/>
    <n v="4"/>
    <x v="0"/>
    <n v="42"/>
    <x v="0"/>
    <n v="1"/>
    <x v="1"/>
    <n v="4"/>
    <x v="0"/>
    <n v="2115"/>
    <n v="15881"/>
    <n v="1"/>
    <s v="Y"/>
    <x v="1"/>
    <n v="12"/>
    <x v="0"/>
    <n v="2"/>
    <n v="80"/>
    <x v="0"/>
    <n v="17"/>
    <x v="1"/>
    <x v="1"/>
    <n v="17"/>
    <n v="12"/>
    <x v="8"/>
    <n v="7"/>
  </r>
  <r>
    <n v="44"/>
    <x v="0"/>
    <x v="1"/>
    <n v="920"/>
    <x v="1"/>
    <x v="4"/>
    <x v="3"/>
    <s v="Life Sciences"/>
    <n v="1"/>
    <n v="392"/>
    <n v="4"/>
    <x v="1"/>
    <n v="43"/>
    <x v="0"/>
    <n v="1"/>
    <x v="2"/>
    <n v="3"/>
    <x v="2"/>
    <n v="3161"/>
    <n v="19920"/>
    <n v="3"/>
    <s v="Y"/>
    <x v="0"/>
    <n v="22"/>
    <x v="1"/>
    <n v="4"/>
    <n v="80"/>
    <x v="1"/>
    <n v="19"/>
    <x v="0"/>
    <x v="0"/>
    <n v="1"/>
    <n v="0"/>
    <x v="0"/>
    <n v="0"/>
  </r>
  <r>
    <n v="38"/>
    <x v="1"/>
    <x v="0"/>
    <n v="688"/>
    <x v="1"/>
    <x v="5"/>
    <x v="2"/>
    <s v="Life Sciences"/>
    <n v="1"/>
    <n v="393"/>
    <n v="4"/>
    <x v="1"/>
    <n v="82"/>
    <x v="0"/>
    <n v="2"/>
    <x v="4"/>
    <n v="4"/>
    <x v="2"/>
    <n v="5745"/>
    <n v="18899"/>
    <n v="9"/>
    <s v="Y"/>
    <x v="1"/>
    <n v="14"/>
    <x v="0"/>
    <n v="2"/>
    <n v="80"/>
    <x v="1"/>
    <n v="10"/>
    <x v="2"/>
    <x v="1"/>
    <n v="2"/>
    <n v="2"/>
    <x v="1"/>
    <n v="2"/>
  </r>
  <r>
    <n v="26"/>
    <x v="0"/>
    <x v="0"/>
    <n v="1449"/>
    <x v="1"/>
    <x v="7"/>
    <x v="2"/>
    <s v="Medical"/>
    <n v="1"/>
    <n v="394"/>
    <n v="1"/>
    <x v="1"/>
    <n v="45"/>
    <x v="0"/>
    <n v="1"/>
    <x v="2"/>
    <n v="2"/>
    <x v="2"/>
    <n v="2373"/>
    <n v="14180"/>
    <n v="2"/>
    <s v="Y"/>
    <x v="0"/>
    <n v="13"/>
    <x v="0"/>
    <n v="4"/>
    <n v="80"/>
    <x v="1"/>
    <n v="5"/>
    <x v="2"/>
    <x v="1"/>
    <n v="3"/>
    <n v="2"/>
    <x v="0"/>
    <n v="2"/>
  </r>
  <r>
    <n v="28"/>
    <x v="1"/>
    <x v="0"/>
    <n v="1117"/>
    <x v="1"/>
    <x v="1"/>
    <x v="0"/>
    <s v="Life Sciences"/>
    <n v="1"/>
    <n v="395"/>
    <n v="4"/>
    <x v="0"/>
    <n v="66"/>
    <x v="0"/>
    <n v="1"/>
    <x v="1"/>
    <n v="4"/>
    <x v="0"/>
    <n v="3310"/>
    <n v="4488"/>
    <n v="1"/>
    <s v="Y"/>
    <x v="1"/>
    <n v="21"/>
    <x v="1"/>
    <n v="4"/>
    <n v="80"/>
    <x v="0"/>
    <n v="5"/>
    <x v="1"/>
    <x v="1"/>
    <n v="5"/>
    <n v="3"/>
    <x v="0"/>
    <n v="2"/>
  </r>
  <r>
    <n v="49"/>
    <x v="1"/>
    <x v="1"/>
    <n v="636"/>
    <x v="1"/>
    <x v="17"/>
    <x v="2"/>
    <s v="Life Sciences"/>
    <n v="1"/>
    <n v="396"/>
    <n v="3"/>
    <x v="0"/>
    <n v="35"/>
    <x v="0"/>
    <n v="5"/>
    <x v="7"/>
    <n v="1"/>
    <x v="0"/>
    <n v="18665"/>
    <n v="25594"/>
    <n v="9"/>
    <s v="Y"/>
    <x v="0"/>
    <n v="11"/>
    <x v="0"/>
    <n v="4"/>
    <n v="80"/>
    <x v="0"/>
    <n v="22"/>
    <x v="5"/>
    <x v="1"/>
    <n v="3"/>
    <n v="2"/>
    <x v="1"/>
    <n v="2"/>
  </r>
  <r>
    <n v="36"/>
    <x v="1"/>
    <x v="0"/>
    <n v="506"/>
    <x v="1"/>
    <x v="3"/>
    <x v="3"/>
    <s v="Technical Degree"/>
    <n v="1"/>
    <n v="397"/>
    <n v="3"/>
    <x v="1"/>
    <n v="30"/>
    <x v="0"/>
    <n v="2"/>
    <x v="1"/>
    <n v="2"/>
    <x v="0"/>
    <n v="4485"/>
    <n v="26285"/>
    <n v="4"/>
    <s v="Y"/>
    <x v="1"/>
    <n v="12"/>
    <x v="0"/>
    <n v="4"/>
    <n v="80"/>
    <x v="0"/>
    <n v="10"/>
    <x v="2"/>
    <x v="1"/>
    <n v="8"/>
    <n v="0"/>
    <x v="4"/>
    <n v="7"/>
  </r>
  <r>
    <n v="31"/>
    <x v="1"/>
    <x v="1"/>
    <n v="444"/>
    <x v="0"/>
    <x v="12"/>
    <x v="3"/>
    <s v="Marketing"/>
    <n v="1"/>
    <n v="399"/>
    <n v="4"/>
    <x v="0"/>
    <n v="84"/>
    <x v="0"/>
    <n v="1"/>
    <x v="6"/>
    <n v="2"/>
    <x v="2"/>
    <n v="2789"/>
    <n v="3909"/>
    <n v="1"/>
    <s v="Y"/>
    <x v="1"/>
    <n v="11"/>
    <x v="0"/>
    <n v="3"/>
    <n v="80"/>
    <x v="1"/>
    <n v="2"/>
    <x v="3"/>
    <x v="2"/>
    <n v="2"/>
    <n v="2"/>
    <x v="3"/>
    <n v="2"/>
  </r>
  <r>
    <n v="26"/>
    <x v="0"/>
    <x v="0"/>
    <n v="950"/>
    <x v="0"/>
    <x v="18"/>
    <x v="2"/>
    <s v="Marketing"/>
    <n v="1"/>
    <n v="401"/>
    <n v="4"/>
    <x v="1"/>
    <n v="48"/>
    <x v="1"/>
    <n v="2"/>
    <x v="0"/>
    <n v="4"/>
    <x v="0"/>
    <n v="5828"/>
    <n v="8450"/>
    <n v="1"/>
    <s v="Y"/>
    <x v="0"/>
    <n v="12"/>
    <x v="0"/>
    <n v="2"/>
    <n v="80"/>
    <x v="0"/>
    <n v="8"/>
    <x v="0"/>
    <x v="1"/>
    <n v="8"/>
    <n v="7"/>
    <x v="4"/>
    <n v="4"/>
  </r>
  <r>
    <n v="37"/>
    <x v="1"/>
    <x v="1"/>
    <n v="889"/>
    <x v="1"/>
    <x v="14"/>
    <x v="3"/>
    <s v="Medical"/>
    <n v="1"/>
    <n v="403"/>
    <n v="2"/>
    <x v="1"/>
    <n v="53"/>
    <x v="0"/>
    <n v="1"/>
    <x v="1"/>
    <n v="4"/>
    <x v="1"/>
    <n v="2326"/>
    <n v="11411"/>
    <n v="1"/>
    <s v="Y"/>
    <x v="0"/>
    <n v="12"/>
    <x v="0"/>
    <n v="3"/>
    <n v="80"/>
    <x v="2"/>
    <n v="4"/>
    <x v="1"/>
    <x v="2"/>
    <n v="4"/>
    <n v="2"/>
    <x v="1"/>
    <n v="2"/>
  </r>
  <r>
    <n v="42"/>
    <x v="1"/>
    <x v="1"/>
    <n v="555"/>
    <x v="0"/>
    <x v="9"/>
    <x v="3"/>
    <s v="Marketing"/>
    <n v="1"/>
    <n v="404"/>
    <n v="3"/>
    <x v="0"/>
    <n v="77"/>
    <x v="0"/>
    <n v="4"/>
    <x v="0"/>
    <n v="2"/>
    <x v="1"/>
    <n v="13525"/>
    <n v="14864"/>
    <n v="5"/>
    <s v="Y"/>
    <x v="1"/>
    <n v="14"/>
    <x v="0"/>
    <n v="4"/>
    <n v="80"/>
    <x v="1"/>
    <n v="23"/>
    <x v="2"/>
    <x v="3"/>
    <n v="20"/>
    <n v="4"/>
    <x v="5"/>
    <n v="8"/>
  </r>
  <r>
    <n v="18"/>
    <x v="0"/>
    <x v="0"/>
    <n v="230"/>
    <x v="1"/>
    <x v="3"/>
    <x v="3"/>
    <s v="Life Sciences"/>
    <n v="1"/>
    <n v="405"/>
    <n v="3"/>
    <x v="1"/>
    <n v="54"/>
    <x v="0"/>
    <n v="1"/>
    <x v="2"/>
    <n v="3"/>
    <x v="0"/>
    <n v="1420"/>
    <n v="25233"/>
    <n v="1"/>
    <s v="Y"/>
    <x v="1"/>
    <n v="13"/>
    <x v="0"/>
    <n v="3"/>
    <n v="80"/>
    <x v="0"/>
    <n v="0"/>
    <x v="2"/>
    <x v="1"/>
    <n v="0"/>
    <n v="0"/>
    <x v="0"/>
    <n v="0"/>
  </r>
  <r>
    <n v="35"/>
    <x v="1"/>
    <x v="0"/>
    <n v="1232"/>
    <x v="0"/>
    <x v="7"/>
    <x v="3"/>
    <s v="Marketing"/>
    <n v="1"/>
    <n v="406"/>
    <n v="3"/>
    <x v="1"/>
    <n v="96"/>
    <x v="0"/>
    <n v="3"/>
    <x v="0"/>
    <n v="2"/>
    <x v="1"/>
    <n v="8020"/>
    <n v="5100"/>
    <n v="0"/>
    <s v="Y"/>
    <x v="1"/>
    <n v="15"/>
    <x v="0"/>
    <n v="3"/>
    <n v="80"/>
    <x v="3"/>
    <n v="12"/>
    <x v="1"/>
    <x v="2"/>
    <n v="11"/>
    <n v="9"/>
    <x v="7"/>
    <n v="9"/>
  </r>
  <r>
    <n v="36"/>
    <x v="1"/>
    <x v="1"/>
    <n v="566"/>
    <x v="1"/>
    <x v="21"/>
    <x v="2"/>
    <s v="Life Sciences"/>
    <n v="1"/>
    <n v="407"/>
    <n v="3"/>
    <x v="1"/>
    <n v="81"/>
    <x v="2"/>
    <n v="1"/>
    <x v="2"/>
    <n v="4"/>
    <x v="1"/>
    <n v="3688"/>
    <n v="7122"/>
    <n v="4"/>
    <s v="Y"/>
    <x v="1"/>
    <n v="18"/>
    <x v="0"/>
    <n v="4"/>
    <n v="80"/>
    <x v="3"/>
    <n v="4"/>
    <x v="2"/>
    <x v="1"/>
    <n v="1"/>
    <n v="0"/>
    <x v="0"/>
    <n v="0"/>
  </r>
  <r>
    <n v="51"/>
    <x v="1"/>
    <x v="0"/>
    <n v="1302"/>
    <x v="1"/>
    <x v="2"/>
    <x v="3"/>
    <s v="Medical"/>
    <n v="1"/>
    <n v="408"/>
    <n v="4"/>
    <x v="1"/>
    <n v="84"/>
    <x v="3"/>
    <n v="2"/>
    <x v="3"/>
    <n v="2"/>
    <x v="2"/>
    <n v="5482"/>
    <n v="16321"/>
    <n v="5"/>
    <s v="Y"/>
    <x v="1"/>
    <n v="18"/>
    <x v="0"/>
    <n v="4"/>
    <n v="80"/>
    <x v="1"/>
    <n v="13"/>
    <x v="1"/>
    <x v="1"/>
    <n v="4"/>
    <n v="1"/>
    <x v="1"/>
    <n v="2"/>
  </r>
  <r>
    <n v="41"/>
    <x v="1"/>
    <x v="0"/>
    <n v="334"/>
    <x v="0"/>
    <x v="2"/>
    <x v="2"/>
    <s v="Life Sciences"/>
    <n v="1"/>
    <n v="410"/>
    <n v="4"/>
    <x v="1"/>
    <n v="88"/>
    <x v="0"/>
    <n v="4"/>
    <x v="5"/>
    <n v="2"/>
    <x v="0"/>
    <n v="16015"/>
    <n v="15896"/>
    <n v="1"/>
    <s v="Y"/>
    <x v="1"/>
    <n v="19"/>
    <x v="0"/>
    <n v="2"/>
    <n v="80"/>
    <x v="0"/>
    <n v="22"/>
    <x v="2"/>
    <x v="1"/>
    <n v="22"/>
    <n v="10"/>
    <x v="0"/>
    <n v="4"/>
  </r>
  <r>
    <n v="18"/>
    <x v="1"/>
    <x v="0"/>
    <n v="812"/>
    <x v="0"/>
    <x v="17"/>
    <x v="3"/>
    <s v="Medical"/>
    <n v="1"/>
    <n v="411"/>
    <n v="4"/>
    <x v="0"/>
    <n v="69"/>
    <x v="1"/>
    <n v="1"/>
    <x v="6"/>
    <n v="3"/>
    <x v="0"/>
    <n v="1200"/>
    <n v="9724"/>
    <n v="1"/>
    <s v="Y"/>
    <x v="1"/>
    <n v="12"/>
    <x v="0"/>
    <n v="1"/>
    <n v="80"/>
    <x v="0"/>
    <n v="0"/>
    <x v="2"/>
    <x v="1"/>
    <n v="0"/>
    <n v="0"/>
    <x v="0"/>
    <n v="0"/>
  </r>
  <r>
    <n v="28"/>
    <x v="1"/>
    <x v="0"/>
    <n v="1476"/>
    <x v="1"/>
    <x v="7"/>
    <x v="0"/>
    <s v="Medical"/>
    <n v="1"/>
    <n v="412"/>
    <n v="2"/>
    <x v="1"/>
    <n v="68"/>
    <x v="2"/>
    <n v="2"/>
    <x v="4"/>
    <n v="1"/>
    <x v="0"/>
    <n v="5661"/>
    <n v="4824"/>
    <n v="0"/>
    <s v="Y"/>
    <x v="1"/>
    <n v="19"/>
    <x v="0"/>
    <n v="3"/>
    <n v="80"/>
    <x v="0"/>
    <n v="9"/>
    <x v="2"/>
    <x v="1"/>
    <n v="8"/>
    <n v="3"/>
    <x v="0"/>
    <n v="7"/>
  </r>
  <r>
    <n v="31"/>
    <x v="1"/>
    <x v="0"/>
    <n v="218"/>
    <x v="0"/>
    <x v="15"/>
    <x v="3"/>
    <s v="Technical Degree"/>
    <n v="1"/>
    <n v="416"/>
    <n v="2"/>
    <x v="1"/>
    <n v="100"/>
    <x v="2"/>
    <n v="2"/>
    <x v="0"/>
    <n v="4"/>
    <x v="1"/>
    <n v="6929"/>
    <n v="12241"/>
    <n v="4"/>
    <s v="Y"/>
    <x v="1"/>
    <n v="11"/>
    <x v="0"/>
    <n v="2"/>
    <n v="80"/>
    <x v="1"/>
    <n v="10"/>
    <x v="1"/>
    <x v="2"/>
    <n v="8"/>
    <n v="7"/>
    <x v="4"/>
    <n v="7"/>
  </r>
  <r>
    <n v="39"/>
    <x v="1"/>
    <x v="0"/>
    <n v="1132"/>
    <x v="1"/>
    <x v="0"/>
    <x v="3"/>
    <s v="Medical"/>
    <n v="1"/>
    <n v="417"/>
    <n v="3"/>
    <x v="1"/>
    <n v="48"/>
    <x v="2"/>
    <n v="3"/>
    <x v="4"/>
    <n v="4"/>
    <x v="2"/>
    <n v="9613"/>
    <n v="10942"/>
    <n v="0"/>
    <s v="Y"/>
    <x v="1"/>
    <n v="17"/>
    <x v="0"/>
    <n v="1"/>
    <n v="80"/>
    <x v="2"/>
    <n v="19"/>
    <x v="3"/>
    <x v="2"/>
    <n v="18"/>
    <n v="10"/>
    <x v="2"/>
    <n v="7"/>
  </r>
  <r>
    <n v="36"/>
    <x v="1"/>
    <x v="2"/>
    <n v="1105"/>
    <x v="1"/>
    <x v="4"/>
    <x v="2"/>
    <s v="Life Sciences"/>
    <n v="1"/>
    <n v="419"/>
    <n v="2"/>
    <x v="0"/>
    <n v="47"/>
    <x v="0"/>
    <n v="2"/>
    <x v="2"/>
    <n v="2"/>
    <x v="1"/>
    <n v="5674"/>
    <n v="6927"/>
    <n v="7"/>
    <s v="Y"/>
    <x v="1"/>
    <n v="15"/>
    <x v="0"/>
    <n v="3"/>
    <n v="80"/>
    <x v="1"/>
    <n v="11"/>
    <x v="1"/>
    <x v="1"/>
    <n v="9"/>
    <n v="8"/>
    <x v="0"/>
    <n v="8"/>
  </r>
  <r>
    <n v="32"/>
    <x v="1"/>
    <x v="0"/>
    <n v="906"/>
    <x v="0"/>
    <x v="15"/>
    <x v="3"/>
    <s v="Life Sciences"/>
    <n v="1"/>
    <n v="420"/>
    <n v="4"/>
    <x v="1"/>
    <n v="91"/>
    <x v="1"/>
    <n v="2"/>
    <x v="0"/>
    <n v="3"/>
    <x v="1"/>
    <n v="5484"/>
    <n v="16985"/>
    <n v="1"/>
    <s v="Y"/>
    <x v="1"/>
    <n v="14"/>
    <x v="0"/>
    <n v="3"/>
    <n v="80"/>
    <x v="1"/>
    <n v="13"/>
    <x v="1"/>
    <x v="2"/>
    <n v="13"/>
    <n v="8"/>
    <x v="5"/>
    <n v="8"/>
  </r>
  <r>
    <n v="38"/>
    <x v="1"/>
    <x v="0"/>
    <n v="849"/>
    <x v="1"/>
    <x v="19"/>
    <x v="0"/>
    <s v="Life Sciences"/>
    <n v="1"/>
    <n v="421"/>
    <n v="1"/>
    <x v="0"/>
    <n v="81"/>
    <x v="1"/>
    <n v="3"/>
    <x v="7"/>
    <n v="2"/>
    <x v="1"/>
    <n v="12061"/>
    <n v="26707"/>
    <n v="3"/>
    <s v="Y"/>
    <x v="1"/>
    <n v="17"/>
    <x v="0"/>
    <n v="3"/>
    <n v="80"/>
    <x v="1"/>
    <n v="19"/>
    <x v="2"/>
    <x v="1"/>
    <n v="10"/>
    <n v="8"/>
    <x v="0"/>
    <n v="1"/>
  </r>
  <r>
    <n v="58"/>
    <x v="1"/>
    <x v="2"/>
    <n v="390"/>
    <x v="1"/>
    <x v="0"/>
    <x v="2"/>
    <s v="Life Sciences"/>
    <n v="1"/>
    <n v="422"/>
    <n v="4"/>
    <x v="1"/>
    <n v="32"/>
    <x v="3"/>
    <n v="2"/>
    <x v="4"/>
    <n v="3"/>
    <x v="2"/>
    <n v="5660"/>
    <n v="17056"/>
    <n v="2"/>
    <s v="Y"/>
    <x v="0"/>
    <n v="13"/>
    <x v="0"/>
    <n v="4"/>
    <n v="80"/>
    <x v="1"/>
    <n v="12"/>
    <x v="2"/>
    <x v="1"/>
    <n v="5"/>
    <n v="3"/>
    <x v="1"/>
    <n v="2"/>
  </r>
  <r>
    <n v="31"/>
    <x v="1"/>
    <x v="0"/>
    <n v="691"/>
    <x v="1"/>
    <x v="12"/>
    <x v="2"/>
    <s v="Technical Degree"/>
    <n v="1"/>
    <n v="423"/>
    <n v="3"/>
    <x v="1"/>
    <n v="86"/>
    <x v="0"/>
    <n v="1"/>
    <x v="1"/>
    <n v="4"/>
    <x v="1"/>
    <n v="4821"/>
    <n v="10077"/>
    <n v="0"/>
    <s v="Y"/>
    <x v="0"/>
    <n v="12"/>
    <x v="0"/>
    <n v="3"/>
    <n v="80"/>
    <x v="1"/>
    <n v="6"/>
    <x v="5"/>
    <x v="1"/>
    <n v="5"/>
    <n v="2"/>
    <x v="0"/>
    <n v="3"/>
  </r>
  <r>
    <n v="31"/>
    <x v="1"/>
    <x v="0"/>
    <n v="106"/>
    <x v="2"/>
    <x v="2"/>
    <x v="3"/>
    <s v="Human Resources"/>
    <n v="1"/>
    <n v="424"/>
    <n v="1"/>
    <x v="1"/>
    <n v="62"/>
    <x v="1"/>
    <n v="2"/>
    <x v="8"/>
    <n v="1"/>
    <x v="1"/>
    <n v="6410"/>
    <n v="17822"/>
    <n v="3"/>
    <s v="Y"/>
    <x v="1"/>
    <n v="12"/>
    <x v="0"/>
    <n v="4"/>
    <n v="80"/>
    <x v="0"/>
    <n v="9"/>
    <x v="4"/>
    <x v="1"/>
    <n v="2"/>
    <n v="2"/>
    <x v="1"/>
    <n v="0"/>
  </r>
  <r>
    <n v="45"/>
    <x v="1"/>
    <x v="1"/>
    <n v="1249"/>
    <x v="1"/>
    <x v="15"/>
    <x v="3"/>
    <s v="Life Sciences"/>
    <n v="1"/>
    <n v="425"/>
    <n v="1"/>
    <x v="1"/>
    <n v="97"/>
    <x v="0"/>
    <n v="3"/>
    <x v="2"/>
    <n v="1"/>
    <x v="2"/>
    <n v="5210"/>
    <n v="20308"/>
    <n v="1"/>
    <s v="Y"/>
    <x v="1"/>
    <n v="18"/>
    <x v="0"/>
    <n v="1"/>
    <n v="80"/>
    <x v="1"/>
    <n v="24"/>
    <x v="2"/>
    <x v="1"/>
    <n v="24"/>
    <n v="9"/>
    <x v="10"/>
    <n v="11"/>
  </r>
  <r>
    <n v="31"/>
    <x v="1"/>
    <x v="0"/>
    <n v="192"/>
    <x v="1"/>
    <x v="2"/>
    <x v="2"/>
    <s v="Life Sciences"/>
    <n v="1"/>
    <n v="426"/>
    <n v="3"/>
    <x v="1"/>
    <n v="32"/>
    <x v="0"/>
    <n v="1"/>
    <x v="1"/>
    <n v="4"/>
    <x v="2"/>
    <n v="2695"/>
    <n v="7747"/>
    <n v="0"/>
    <s v="Y"/>
    <x v="0"/>
    <n v="18"/>
    <x v="0"/>
    <n v="2"/>
    <n v="80"/>
    <x v="1"/>
    <n v="3"/>
    <x v="2"/>
    <x v="0"/>
    <n v="2"/>
    <n v="2"/>
    <x v="3"/>
    <n v="2"/>
  </r>
  <r>
    <n v="33"/>
    <x v="1"/>
    <x v="1"/>
    <n v="553"/>
    <x v="1"/>
    <x v="12"/>
    <x v="2"/>
    <s v="Life Sciences"/>
    <n v="1"/>
    <n v="428"/>
    <n v="4"/>
    <x v="0"/>
    <n v="74"/>
    <x v="0"/>
    <n v="3"/>
    <x v="5"/>
    <n v="2"/>
    <x v="1"/>
    <n v="11878"/>
    <n v="23364"/>
    <n v="6"/>
    <s v="Y"/>
    <x v="1"/>
    <n v="11"/>
    <x v="0"/>
    <n v="2"/>
    <n v="80"/>
    <x v="3"/>
    <n v="12"/>
    <x v="2"/>
    <x v="1"/>
    <n v="10"/>
    <n v="6"/>
    <x v="6"/>
    <n v="8"/>
  </r>
  <r>
    <n v="39"/>
    <x v="1"/>
    <x v="0"/>
    <n v="117"/>
    <x v="1"/>
    <x v="17"/>
    <x v="1"/>
    <s v="Medical"/>
    <n v="1"/>
    <n v="429"/>
    <n v="3"/>
    <x v="1"/>
    <n v="99"/>
    <x v="0"/>
    <n v="4"/>
    <x v="5"/>
    <n v="1"/>
    <x v="1"/>
    <n v="17068"/>
    <n v="5355"/>
    <n v="1"/>
    <s v="Y"/>
    <x v="0"/>
    <n v="14"/>
    <x v="0"/>
    <n v="4"/>
    <n v="80"/>
    <x v="0"/>
    <n v="21"/>
    <x v="1"/>
    <x v="1"/>
    <n v="21"/>
    <n v="9"/>
    <x v="14"/>
    <n v="10"/>
  </r>
  <r>
    <n v="43"/>
    <x v="1"/>
    <x v="1"/>
    <n v="185"/>
    <x v="1"/>
    <x v="17"/>
    <x v="2"/>
    <s v="Life Sciences"/>
    <n v="1"/>
    <n v="430"/>
    <n v="3"/>
    <x v="0"/>
    <n v="33"/>
    <x v="0"/>
    <n v="1"/>
    <x v="2"/>
    <n v="4"/>
    <x v="0"/>
    <n v="2455"/>
    <n v="10675"/>
    <n v="0"/>
    <s v="Y"/>
    <x v="1"/>
    <n v="19"/>
    <x v="0"/>
    <n v="1"/>
    <n v="80"/>
    <x v="0"/>
    <n v="9"/>
    <x v="3"/>
    <x v="1"/>
    <n v="8"/>
    <n v="7"/>
    <x v="1"/>
    <n v="7"/>
  </r>
  <r>
    <n v="49"/>
    <x v="1"/>
    <x v="0"/>
    <n v="1091"/>
    <x v="1"/>
    <x v="0"/>
    <x v="0"/>
    <s v="Technical Degree"/>
    <n v="1"/>
    <n v="431"/>
    <n v="3"/>
    <x v="0"/>
    <n v="90"/>
    <x v="1"/>
    <n v="4"/>
    <x v="4"/>
    <n v="3"/>
    <x v="0"/>
    <n v="13964"/>
    <n v="17810"/>
    <n v="7"/>
    <s v="Y"/>
    <x v="0"/>
    <n v="12"/>
    <x v="0"/>
    <n v="4"/>
    <n v="80"/>
    <x v="0"/>
    <n v="25"/>
    <x v="2"/>
    <x v="1"/>
    <n v="7"/>
    <n v="1"/>
    <x v="0"/>
    <n v="7"/>
  </r>
  <r>
    <n v="52"/>
    <x v="0"/>
    <x v="0"/>
    <n v="723"/>
    <x v="1"/>
    <x v="1"/>
    <x v="2"/>
    <s v="Medical"/>
    <n v="1"/>
    <n v="433"/>
    <n v="3"/>
    <x v="1"/>
    <n v="85"/>
    <x v="1"/>
    <n v="2"/>
    <x v="1"/>
    <n v="2"/>
    <x v="1"/>
    <n v="4941"/>
    <n v="17747"/>
    <n v="2"/>
    <s v="Y"/>
    <x v="1"/>
    <n v="15"/>
    <x v="0"/>
    <n v="1"/>
    <n v="80"/>
    <x v="0"/>
    <n v="11"/>
    <x v="1"/>
    <x v="2"/>
    <n v="8"/>
    <n v="2"/>
    <x v="4"/>
    <n v="7"/>
  </r>
  <r>
    <n v="27"/>
    <x v="1"/>
    <x v="0"/>
    <n v="1220"/>
    <x v="1"/>
    <x v="12"/>
    <x v="3"/>
    <s v="Life Sciences"/>
    <n v="1"/>
    <n v="434"/>
    <n v="3"/>
    <x v="0"/>
    <n v="85"/>
    <x v="0"/>
    <n v="1"/>
    <x v="1"/>
    <n v="2"/>
    <x v="0"/>
    <n v="2478"/>
    <n v="20938"/>
    <n v="1"/>
    <s v="Y"/>
    <x v="0"/>
    <n v="12"/>
    <x v="0"/>
    <n v="2"/>
    <n v="80"/>
    <x v="0"/>
    <n v="4"/>
    <x v="2"/>
    <x v="2"/>
    <n v="4"/>
    <n v="3"/>
    <x v="1"/>
    <n v="2"/>
  </r>
  <r>
    <n v="32"/>
    <x v="1"/>
    <x v="0"/>
    <n v="588"/>
    <x v="0"/>
    <x v="1"/>
    <x v="0"/>
    <s v="Technical Degree"/>
    <n v="1"/>
    <n v="436"/>
    <n v="3"/>
    <x v="0"/>
    <n v="65"/>
    <x v="1"/>
    <n v="2"/>
    <x v="0"/>
    <n v="2"/>
    <x v="1"/>
    <n v="5228"/>
    <n v="24624"/>
    <n v="1"/>
    <s v="Y"/>
    <x v="0"/>
    <n v="11"/>
    <x v="0"/>
    <n v="4"/>
    <n v="80"/>
    <x v="0"/>
    <n v="13"/>
    <x v="2"/>
    <x v="1"/>
    <n v="13"/>
    <n v="12"/>
    <x v="14"/>
    <n v="9"/>
  </r>
  <r>
    <n v="27"/>
    <x v="1"/>
    <x v="0"/>
    <n v="1377"/>
    <x v="0"/>
    <x v="2"/>
    <x v="3"/>
    <s v="Life Sciences"/>
    <n v="1"/>
    <n v="437"/>
    <n v="4"/>
    <x v="1"/>
    <n v="74"/>
    <x v="0"/>
    <n v="2"/>
    <x v="0"/>
    <n v="3"/>
    <x v="0"/>
    <n v="4478"/>
    <n v="5242"/>
    <n v="1"/>
    <s v="Y"/>
    <x v="0"/>
    <n v="11"/>
    <x v="0"/>
    <n v="1"/>
    <n v="80"/>
    <x v="0"/>
    <n v="5"/>
    <x v="1"/>
    <x v="1"/>
    <n v="5"/>
    <n v="4"/>
    <x v="0"/>
    <n v="4"/>
  </r>
  <r>
    <n v="31"/>
    <x v="1"/>
    <x v="0"/>
    <n v="691"/>
    <x v="0"/>
    <x v="15"/>
    <x v="3"/>
    <s v="Marketing"/>
    <n v="1"/>
    <n v="438"/>
    <n v="4"/>
    <x v="1"/>
    <n v="73"/>
    <x v="0"/>
    <n v="2"/>
    <x v="0"/>
    <n v="4"/>
    <x v="2"/>
    <n v="7547"/>
    <n v="7143"/>
    <n v="4"/>
    <s v="Y"/>
    <x v="1"/>
    <n v="12"/>
    <x v="0"/>
    <n v="4"/>
    <n v="80"/>
    <x v="2"/>
    <n v="13"/>
    <x v="1"/>
    <x v="1"/>
    <n v="7"/>
    <n v="7"/>
    <x v="1"/>
    <n v="7"/>
  </r>
  <r>
    <n v="32"/>
    <x v="1"/>
    <x v="0"/>
    <n v="1018"/>
    <x v="1"/>
    <x v="2"/>
    <x v="2"/>
    <s v="Medical"/>
    <n v="1"/>
    <n v="439"/>
    <n v="1"/>
    <x v="0"/>
    <n v="74"/>
    <x v="2"/>
    <n v="2"/>
    <x v="1"/>
    <n v="4"/>
    <x v="0"/>
    <n v="5055"/>
    <n v="10557"/>
    <n v="7"/>
    <s v="Y"/>
    <x v="1"/>
    <n v="16"/>
    <x v="0"/>
    <n v="3"/>
    <n v="80"/>
    <x v="0"/>
    <n v="10"/>
    <x v="0"/>
    <x v="2"/>
    <n v="7"/>
    <n v="7"/>
    <x v="0"/>
    <n v="7"/>
  </r>
  <r>
    <n v="28"/>
    <x v="0"/>
    <x v="0"/>
    <n v="1157"/>
    <x v="1"/>
    <x v="2"/>
    <x v="2"/>
    <s v="Medical"/>
    <n v="1"/>
    <n v="440"/>
    <n v="1"/>
    <x v="1"/>
    <n v="84"/>
    <x v="3"/>
    <n v="1"/>
    <x v="1"/>
    <n v="4"/>
    <x v="1"/>
    <n v="3464"/>
    <n v="24737"/>
    <n v="5"/>
    <s v="Y"/>
    <x v="0"/>
    <n v="13"/>
    <x v="0"/>
    <n v="4"/>
    <n v="80"/>
    <x v="0"/>
    <n v="5"/>
    <x v="5"/>
    <x v="2"/>
    <n v="3"/>
    <n v="2"/>
    <x v="3"/>
    <n v="2"/>
  </r>
  <r>
    <n v="30"/>
    <x v="1"/>
    <x v="0"/>
    <n v="1275"/>
    <x v="1"/>
    <x v="26"/>
    <x v="0"/>
    <s v="Medical"/>
    <n v="1"/>
    <n v="441"/>
    <n v="4"/>
    <x v="0"/>
    <n v="64"/>
    <x v="0"/>
    <n v="2"/>
    <x v="1"/>
    <n v="4"/>
    <x v="1"/>
    <n v="5775"/>
    <n v="11934"/>
    <n v="1"/>
    <s v="Y"/>
    <x v="1"/>
    <n v="13"/>
    <x v="0"/>
    <n v="4"/>
    <n v="80"/>
    <x v="3"/>
    <n v="11"/>
    <x v="2"/>
    <x v="1"/>
    <n v="10"/>
    <n v="8"/>
    <x v="1"/>
    <n v="9"/>
  </r>
  <r>
    <n v="31"/>
    <x v="1"/>
    <x v="1"/>
    <n v="798"/>
    <x v="1"/>
    <x v="15"/>
    <x v="0"/>
    <s v="Life Sciences"/>
    <n v="1"/>
    <n v="442"/>
    <n v="3"/>
    <x v="0"/>
    <n v="48"/>
    <x v="1"/>
    <n v="3"/>
    <x v="3"/>
    <n v="3"/>
    <x v="1"/>
    <n v="8943"/>
    <n v="14034"/>
    <n v="1"/>
    <s v="Y"/>
    <x v="1"/>
    <n v="24"/>
    <x v="1"/>
    <n v="1"/>
    <n v="80"/>
    <x v="1"/>
    <n v="10"/>
    <x v="2"/>
    <x v="1"/>
    <n v="10"/>
    <n v="9"/>
    <x v="6"/>
    <n v="9"/>
  </r>
  <r>
    <n v="39"/>
    <x v="1"/>
    <x v="1"/>
    <n v="672"/>
    <x v="1"/>
    <x v="15"/>
    <x v="0"/>
    <s v="Medical"/>
    <n v="1"/>
    <n v="444"/>
    <n v="3"/>
    <x v="1"/>
    <n v="54"/>
    <x v="1"/>
    <n v="5"/>
    <x v="5"/>
    <n v="4"/>
    <x v="1"/>
    <n v="19272"/>
    <n v="21141"/>
    <n v="1"/>
    <s v="Y"/>
    <x v="1"/>
    <n v="15"/>
    <x v="0"/>
    <n v="1"/>
    <n v="80"/>
    <x v="1"/>
    <n v="21"/>
    <x v="2"/>
    <x v="1"/>
    <n v="21"/>
    <n v="9"/>
    <x v="11"/>
    <n v="3"/>
  </r>
  <r>
    <n v="39"/>
    <x v="0"/>
    <x v="0"/>
    <n v="1162"/>
    <x v="0"/>
    <x v="3"/>
    <x v="0"/>
    <s v="Medical"/>
    <n v="1"/>
    <n v="445"/>
    <n v="4"/>
    <x v="0"/>
    <n v="41"/>
    <x v="0"/>
    <n v="2"/>
    <x v="0"/>
    <n v="3"/>
    <x v="1"/>
    <n v="5238"/>
    <n v="17778"/>
    <n v="4"/>
    <s v="Y"/>
    <x v="0"/>
    <n v="18"/>
    <x v="0"/>
    <n v="1"/>
    <n v="80"/>
    <x v="0"/>
    <n v="12"/>
    <x v="1"/>
    <x v="2"/>
    <n v="1"/>
    <n v="0"/>
    <x v="0"/>
    <n v="0"/>
  </r>
  <r>
    <n v="33"/>
    <x v="1"/>
    <x v="1"/>
    <n v="508"/>
    <x v="0"/>
    <x v="17"/>
    <x v="3"/>
    <s v="Marketing"/>
    <n v="1"/>
    <n v="446"/>
    <n v="2"/>
    <x v="1"/>
    <n v="46"/>
    <x v="1"/>
    <n v="2"/>
    <x v="0"/>
    <n v="4"/>
    <x v="0"/>
    <n v="4682"/>
    <n v="4317"/>
    <n v="3"/>
    <s v="Y"/>
    <x v="1"/>
    <n v="14"/>
    <x v="0"/>
    <n v="3"/>
    <n v="80"/>
    <x v="0"/>
    <n v="9"/>
    <x v="6"/>
    <x v="2"/>
    <n v="7"/>
    <n v="7"/>
    <x v="0"/>
    <n v="1"/>
  </r>
  <r>
    <n v="47"/>
    <x v="1"/>
    <x v="0"/>
    <n v="1482"/>
    <x v="1"/>
    <x v="12"/>
    <x v="4"/>
    <s v="Life Sciences"/>
    <n v="1"/>
    <n v="447"/>
    <n v="4"/>
    <x v="1"/>
    <n v="42"/>
    <x v="0"/>
    <n v="5"/>
    <x v="7"/>
    <n v="3"/>
    <x v="1"/>
    <n v="18300"/>
    <n v="16375"/>
    <n v="4"/>
    <s v="Y"/>
    <x v="1"/>
    <n v="11"/>
    <x v="0"/>
    <n v="2"/>
    <n v="80"/>
    <x v="1"/>
    <n v="21"/>
    <x v="2"/>
    <x v="1"/>
    <n v="3"/>
    <n v="2"/>
    <x v="1"/>
    <n v="1"/>
  </r>
  <r>
    <n v="43"/>
    <x v="1"/>
    <x v="1"/>
    <n v="559"/>
    <x v="1"/>
    <x v="17"/>
    <x v="2"/>
    <s v="Life Sciences"/>
    <n v="1"/>
    <n v="448"/>
    <n v="3"/>
    <x v="0"/>
    <n v="82"/>
    <x v="1"/>
    <n v="2"/>
    <x v="2"/>
    <n v="3"/>
    <x v="2"/>
    <n v="5257"/>
    <n v="6227"/>
    <n v="1"/>
    <s v="Y"/>
    <x v="1"/>
    <n v="11"/>
    <x v="0"/>
    <n v="2"/>
    <n v="80"/>
    <x v="1"/>
    <n v="9"/>
    <x v="1"/>
    <x v="3"/>
    <n v="9"/>
    <n v="7"/>
    <x v="0"/>
    <n v="0"/>
  </r>
  <r>
    <n v="27"/>
    <x v="1"/>
    <x v="2"/>
    <n v="210"/>
    <x v="0"/>
    <x v="0"/>
    <x v="1"/>
    <s v="Marketing"/>
    <n v="1"/>
    <n v="449"/>
    <n v="3"/>
    <x v="1"/>
    <n v="73"/>
    <x v="0"/>
    <n v="2"/>
    <x v="0"/>
    <n v="2"/>
    <x v="1"/>
    <n v="6349"/>
    <n v="22107"/>
    <n v="0"/>
    <s v="Y"/>
    <x v="0"/>
    <n v="13"/>
    <x v="0"/>
    <n v="4"/>
    <n v="80"/>
    <x v="1"/>
    <n v="6"/>
    <x v="0"/>
    <x v="1"/>
    <n v="5"/>
    <n v="4"/>
    <x v="1"/>
    <n v="4"/>
  </r>
  <r>
    <n v="54"/>
    <x v="1"/>
    <x v="1"/>
    <n v="928"/>
    <x v="1"/>
    <x v="25"/>
    <x v="2"/>
    <s v="Life Sciences"/>
    <n v="1"/>
    <n v="450"/>
    <n v="4"/>
    <x v="0"/>
    <n v="31"/>
    <x v="0"/>
    <n v="2"/>
    <x v="1"/>
    <n v="3"/>
    <x v="0"/>
    <n v="4869"/>
    <n v="16885"/>
    <n v="3"/>
    <s v="Y"/>
    <x v="1"/>
    <n v="12"/>
    <x v="0"/>
    <n v="4"/>
    <n v="80"/>
    <x v="0"/>
    <n v="20"/>
    <x v="5"/>
    <x v="2"/>
    <n v="4"/>
    <n v="3"/>
    <x v="0"/>
    <n v="3"/>
  </r>
  <r>
    <n v="43"/>
    <x v="1"/>
    <x v="0"/>
    <n v="1001"/>
    <x v="1"/>
    <x v="15"/>
    <x v="3"/>
    <s v="Life Sciences"/>
    <n v="1"/>
    <n v="451"/>
    <n v="3"/>
    <x v="0"/>
    <n v="43"/>
    <x v="0"/>
    <n v="3"/>
    <x v="4"/>
    <n v="1"/>
    <x v="1"/>
    <n v="9985"/>
    <n v="9262"/>
    <n v="8"/>
    <s v="Y"/>
    <x v="1"/>
    <n v="16"/>
    <x v="0"/>
    <n v="1"/>
    <n v="80"/>
    <x v="1"/>
    <n v="10"/>
    <x v="4"/>
    <x v="2"/>
    <n v="1"/>
    <n v="0"/>
    <x v="0"/>
    <n v="0"/>
  </r>
  <r>
    <n v="45"/>
    <x v="1"/>
    <x v="0"/>
    <n v="549"/>
    <x v="1"/>
    <x v="1"/>
    <x v="2"/>
    <s v="Other"/>
    <n v="1"/>
    <n v="452"/>
    <n v="4"/>
    <x v="1"/>
    <n v="75"/>
    <x v="0"/>
    <n v="2"/>
    <x v="1"/>
    <n v="4"/>
    <x v="1"/>
    <n v="3697"/>
    <n v="9278"/>
    <n v="9"/>
    <s v="Y"/>
    <x v="1"/>
    <n v="14"/>
    <x v="0"/>
    <n v="1"/>
    <n v="80"/>
    <x v="3"/>
    <n v="12"/>
    <x v="1"/>
    <x v="1"/>
    <n v="10"/>
    <n v="9"/>
    <x v="10"/>
    <n v="8"/>
  </r>
  <r>
    <n v="40"/>
    <x v="1"/>
    <x v="0"/>
    <n v="1124"/>
    <x v="0"/>
    <x v="0"/>
    <x v="0"/>
    <s v="Medical"/>
    <n v="1"/>
    <n v="453"/>
    <n v="2"/>
    <x v="1"/>
    <n v="57"/>
    <x v="3"/>
    <n v="2"/>
    <x v="0"/>
    <n v="4"/>
    <x v="1"/>
    <n v="7457"/>
    <n v="13273"/>
    <n v="2"/>
    <s v="Y"/>
    <x v="0"/>
    <n v="22"/>
    <x v="1"/>
    <n v="3"/>
    <n v="80"/>
    <x v="2"/>
    <n v="6"/>
    <x v="2"/>
    <x v="2"/>
    <n v="4"/>
    <n v="3"/>
    <x v="0"/>
    <n v="2"/>
  </r>
  <r>
    <n v="29"/>
    <x v="0"/>
    <x v="0"/>
    <n v="318"/>
    <x v="1"/>
    <x v="1"/>
    <x v="2"/>
    <s v="Other"/>
    <n v="1"/>
    <n v="454"/>
    <n v="2"/>
    <x v="1"/>
    <n v="77"/>
    <x v="3"/>
    <n v="1"/>
    <x v="2"/>
    <n v="1"/>
    <x v="1"/>
    <n v="2119"/>
    <n v="4759"/>
    <n v="1"/>
    <s v="Y"/>
    <x v="0"/>
    <n v="11"/>
    <x v="0"/>
    <n v="4"/>
    <n v="80"/>
    <x v="0"/>
    <n v="7"/>
    <x v="5"/>
    <x v="2"/>
    <n v="7"/>
    <n v="7"/>
    <x v="0"/>
    <n v="7"/>
  </r>
  <r>
    <n v="29"/>
    <x v="1"/>
    <x v="0"/>
    <n v="738"/>
    <x v="1"/>
    <x v="14"/>
    <x v="4"/>
    <s v="Other"/>
    <n v="1"/>
    <n v="455"/>
    <n v="2"/>
    <x v="1"/>
    <n v="30"/>
    <x v="1"/>
    <n v="1"/>
    <x v="2"/>
    <n v="4"/>
    <x v="0"/>
    <n v="3983"/>
    <n v="7621"/>
    <n v="0"/>
    <s v="Y"/>
    <x v="1"/>
    <n v="17"/>
    <x v="0"/>
    <n v="3"/>
    <n v="80"/>
    <x v="0"/>
    <n v="4"/>
    <x v="2"/>
    <x v="1"/>
    <n v="3"/>
    <n v="2"/>
    <x v="3"/>
    <n v="2"/>
  </r>
  <r>
    <n v="30"/>
    <x v="1"/>
    <x v="0"/>
    <n v="570"/>
    <x v="0"/>
    <x v="12"/>
    <x v="3"/>
    <s v="Marketing"/>
    <n v="1"/>
    <n v="456"/>
    <n v="4"/>
    <x v="0"/>
    <n v="30"/>
    <x v="1"/>
    <n v="2"/>
    <x v="0"/>
    <n v="3"/>
    <x v="2"/>
    <n v="6118"/>
    <n v="5431"/>
    <n v="1"/>
    <s v="Y"/>
    <x v="1"/>
    <n v="13"/>
    <x v="0"/>
    <n v="3"/>
    <n v="80"/>
    <x v="2"/>
    <n v="10"/>
    <x v="2"/>
    <x v="1"/>
    <n v="10"/>
    <n v="9"/>
    <x v="1"/>
    <n v="2"/>
  </r>
  <r>
    <n v="27"/>
    <x v="1"/>
    <x v="0"/>
    <n v="1130"/>
    <x v="0"/>
    <x v="1"/>
    <x v="2"/>
    <s v="Marketing"/>
    <n v="1"/>
    <n v="458"/>
    <n v="2"/>
    <x v="0"/>
    <n v="56"/>
    <x v="0"/>
    <n v="2"/>
    <x v="0"/>
    <n v="2"/>
    <x v="1"/>
    <n v="6214"/>
    <n v="3415"/>
    <n v="1"/>
    <s v="Y"/>
    <x v="1"/>
    <n v="18"/>
    <x v="0"/>
    <n v="1"/>
    <n v="80"/>
    <x v="1"/>
    <n v="8"/>
    <x v="1"/>
    <x v="1"/>
    <n v="8"/>
    <n v="7"/>
    <x v="0"/>
    <n v="7"/>
  </r>
  <r>
    <n v="37"/>
    <x v="1"/>
    <x v="0"/>
    <n v="1192"/>
    <x v="1"/>
    <x v="12"/>
    <x v="0"/>
    <s v="Medical"/>
    <n v="1"/>
    <n v="460"/>
    <n v="4"/>
    <x v="1"/>
    <n v="61"/>
    <x v="0"/>
    <n v="2"/>
    <x v="3"/>
    <n v="4"/>
    <x v="2"/>
    <n v="6347"/>
    <n v="23177"/>
    <n v="7"/>
    <s v="Y"/>
    <x v="1"/>
    <n v="16"/>
    <x v="0"/>
    <n v="3"/>
    <n v="80"/>
    <x v="3"/>
    <n v="8"/>
    <x v="2"/>
    <x v="2"/>
    <n v="6"/>
    <n v="2"/>
    <x v="0"/>
    <n v="4"/>
  </r>
  <r>
    <n v="38"/>
    <x v="1"/>
    <x v="0"/>
    <n v="343"/>
    <x v="1"/>
    <x v="8"/>
    <x v="0"/>
    <s v="Life Sciences"/>
    <n v="1"/>
    <n v="461"/>
    <n v="3"/>
    <x v="1"/>
    <n v="92"/>
    <x v="1"/>
    <n v="3"/>
    <x v="7"/>
    <n v="4"/>
    <x v="2"/>
    <n v="11510"/>
    <n v="15682"/>
    <n v="0"/>
    <s v="Y"/>
    <x v="0"/>
    <n v="14"/>
    <x v="0"/>
    <n v="2"/>
    <n v="80"/>
    <x v="1"/>
    <n v="12"/>
    <x v="1"/>
    <x v="1"/>
    <n v="11"/>
    <n v="10"/>
    <x v="3"/>
    <n v="9"/>
  </r>
  <r>
    <n v="31"/>
    <x v="1"/>
    <x v="0"/>
    <n v="1232"/>
    <x v="1"/>
    <x v="15"/>
    <x v="2"/>
    <s v="Medical"/>
    <n v="1"/>
    <n v="462"/>
    <n v="3"/>
    <x v="0"/>
    <n v="39"/>
    <x v="0"/>
    <n v="3"/>
    <x v="3"/>
    <n v="4"/>
    <x v="0"/>
    <n v="7143"/>
    <n v="25713"/>
    <n v="1"/>
    <s v="Y"/>
    <x v="0"/>
    <n v="14"/>
    <x v="0"/>
    <n v="3"/>
    <n v="80"/>
    <x v="0"/>
    <n v="11"/>
    <x v="2"/>
    <x v="2"/>
    <n v="11"/>
    <n v="9"/>
    <x v="5"/>
    <n v="10"/>
  </r>
  <r>
    <n v="29"/>
    <x v="1"/>
    <x v="0"/>
    <n v="144"/>
    <x v="0"/>
    <x v="17"/>
    <x v="1"/>
    <s v="Marketing"/>
    <n v="1"/>
    <n v="463"/>
    <n v="4"/>
    <x v="0"/>
    <n v="39"/>
    <x v="1"/>
    <n v="2"/>
    <x v="0"/>
    <n v="2"/>
    <x v="2"/>
    <n v="8268"/>
    <n v="11866"/>
    <n v="1"/>
    <s v="Y"/>
    <x v="0"/>
    <n v="14"/>
    <x v="0"/>
    <n v="1"/>
    <n v="80"/>
    <x v="3"/>
    <n v="7"/>
    <x v="2"/>
    <x v="1"/>
    <n v="7"/>
    <n v="7"/>
    <x v="1"/>
    <n v="7"/>
  </r>
  <r>
    <n v="35"/>
    <x v="1"/>
    <x v="0"/>
    <n v="1296"/>
    <x v="1"/>
    <x v="12"/>
    <x v="2"/>
    <s v="Technical Degree"/>
    <n v="1"/>
    <n v="464"/>
    <n v="3"/>
    <x v="1"/>
    <n v="62"/>
    <x v="0"/>
    <n v="3"/>
    <x v="3"/>
    <n v="2"/>
    <x v="0"/>
    <n v="8095"/>
    <n v="18264"/>
    <n v="0"/>
    <s v="Y"/>
    <x v="1"/>
    <n v="13"/>
    <x v="0"/>
    <n v="4"/>
    <n v="80"/>
    <x v="0"/>
    <n v="17"/>
    <x v="3"/>
    <x v="1"/>
    <n v="16"/>
    <n v="6"/>
    <x v="0"/>
    <n v="13"/>
  </r>
  <r>
    <n v="23"/>
    <x v="1"/>
    <x v="0"/>
    <n v="1309"/>
    <x v="1"/>
    <x v="9"/>
    <x v="1"/>
    <s v="Life Sciences"/>
    <n v="1"/>
    <n v="465"/>
    <n v="3"/>
    <x v="1"/>
    <n v="83"/>
    <x v="0"/>
    <n v="1"/>
    <x v="1"/>
    <n v="4"/>
    <x v="2"/>
    <n v="2904"/>
    <n v="16092"/>
    <n v="1"/>
    <s v="Y"/>
    <x v="1"/>
    <n v="12"/>
    <x v="0"/>
    <n v="3"/>
    <n v="80"/>
    <x v="3"/>
    <n v="4"/>
    <x v="2"/>
    <x v="2"/>
    <n v="4"/>
    <n v="2"/>
    <x v="0"/>
    <n v="2"/>
  </r>
  <r>
    <n v="41"/>
    <x v="1"/>
    <x v="0"/>
    <n v="483"/>
    <x v="1"/>
    <x v="16"/>
    <x v="3"/>
    <s v="Medical"/>
    <n v="1"/>
    <n v="466"/>
    <n v="4"/>
    <x v="1"/>
    <n v="95"/>
    <x v="1"/>
    <n v="2"/>
    <x v="3"/>
    <n v="2"/>
    <x v="0"/>
    <n v="6032"/>
    <n v="10110"/>
    <n v="6"/>
    <s v="Y"/>
    <x v="0"/>
    <n v="15"/>
    <x v="0"/>
    <n v="4"/>
    <n v="80"/>
    <x v="0"/>
    <n v="8"/>
    <x v="1"/>
    <x v="1"/>
    <n v="5"/>
    <n v="4"/>
    <x v="1"/>
    <n v="2"/>
  </r>
  <r>
    <n v="47"/>
    <x v="1"/>
    <x v="1"/>
    <n v="1309"/>
    <x v="0"/>
    <x v="18"/>
    <x v="1"/>
    <s v="Medical"/>
    <n v="1"/>
    <n v="467"/>
    <n v="2"/>
    <x v="1"/>
    <n v="99"/>
    <x v="0"/>
    <n v="2"/>
    <x v="6"/>
    <n v="3"/>
    <x v="0"/>
    <n v="2976"/>
    <n v="25751"/>
    <n v="3"/>
    <s v="Y"/>
    <x v="1"/>
    <n v="19"/>
    <x v="0"/>
    <n v="1"/>
    <n v="80"/>
    <x v="0"/>
    <n v="5"/>
    <x v="1"/>
    <x v="1"/>
    <n v="0"/>
    <n v="0"/>
    <x v="0"/>
    <n v="0"/>
  </r>
  <r>
    <n v="42"/>
    <x v="1"/>
    <x v="0"/>
    <n v="810"/>
    <x v="1"/>
    <x v="5"/>
    <x v="4"/>
    <s v="Life Sciences"/>
    <n v="1"/>
    <n v="468"/>
    <n v="1"/>
    <x v="0"/>
    <n v="44"/>
    <x v="0"/>
    <n v="4"/>
    <x v="7"/>
    <n v="4"/>
    <x v="0"/>
    <n v="15992"/>
    <n v="15901"/>
    <n v="2"/>
    <s v="Y"/>
    <x v="1"/>
    <n v="14"/>
    <x v="0"/>
    <n v="2"/>
    <n v="80"/>
    <x v="0"/>
    <n v="16"/>
    <x v="2"/>
    <x v="1"/>
    <n v="1"/>
    <n v="0"/>
    <x v="0"/>
    <n v="0"/>
  </r>
  <r>
    <n v="29"/>
    <x v="1"/>
    <x v="2"/>
    <n v="746"/>
    <x v="0"/>
    <x v="2"/>
    <x v="3"/>
    <s v="Life Sciences"/>
    <n v="1"/>
    <n v="469"/>
    <n v="4"/>
    <x v="1"/>
    <n v="61"/>
    <x v="0"/>
    <n v="2"/>
    <x v="0"/>
    <n v="3"/>
    <x v="1"/>
    <n v="4649"/>
    <n v="16928"/>
    <n v="1"/>
    <s v="Y"/>
    <x v="1"/>
    <n v="14"/>
    <x v="0"/>
    <n v="1"/>
    <n v="80"/>
    <x v="1"/>
    <n v="4"/>
    <x v="1"/>
    <x v="2"/>
    <n v="4"/>
    <n v="3"/>
    <x v="0"/>
    <n v="2"/>
  </r>
  <r>
    <n v="42"/>
    <x v="1"/>
    <x v="0"/>
    <n v="544"/>
    <x v="2"/>
    <x v="2"/>
    <x v="1"/>
    <s v="Technical Degree"/>
    <n v="1"/>
    <n v="470"/>
    <n v="3"/>
    <x v="1"/>
    <n v="52"/>
    <x v="0"/>
    <n v="1"/>
    <x v="8"/>
    <n v="3"/>
    <x v="2"/>
    <n v="2696"/>
    <n v="24017"/>
    <n v="0"/>
    <s v="Y"/>
    <x v="0"/>
    <n v="11"/>
    <x v="0"/>
    <n v="3"/>
    <n v="80"/>
    <x v="1"/>
    <n v="4"/>
    <x v="3"/>
    <x v="1"/>
    <n v="3"/>
    <n v="2"/>
    <x v="1"/>
    <n v="0"/>
  </r>
  <r>
    <n v="32"/>
    <x v="1"/>
    <x v="0"/>
    <n v="1062"/>
    <x v="1"/>
    <x v="2"/>
    <x v="3"/>
    <s v="Medical"/>
    <n v="1"/>
    <n v="471"/>
    <n v="3"/>
    <x v="0"/>
    <n v="75"/>
    <x v="0"/>
    <n v="1"/>
    <x v="2"/>
    <n v="2"/>
    <x v="1"/>
    <n v="2370"/>
    <n v="3956"/>
    <n v="1"/>
    <s v="Y"/>
    <x v="1"/>
    <n v="13"/>
    <x v="0"/>
    <n v="3"/>
    <n v="80"/>
    <x v="1"/>
    <n v="8"/>
    <x v="5"/>
    <x v="1"/>
    <n v="8"/>
    <n v="0"/>
    <x v="0"/>
    <n v="7"/>
  </r>
  <r>
    <n v="48"/>
    <x v="1"/>
    <x v="0"/>
    <n v="530"/>
    <x v="0"/>
    <x v="22"/>
    <x v="1"/>
    <s v="Medical"/>
    <n v="1"/>
    <n v="473"/>
    <n v="1"/>
    <x v="0"/>
    <n v="91"/>
    <x v="0"/>
    <n v="3"/>
    <x v="5"/>
    <n v="3"/>
    <x v="1"/>
    <n v="12504"/>
    <n v="23978"/>
    <n v="3"/>
    <s v="Y"/>
    <x v="1"/>
    <n v="21"/>
    <x v="1"/>
    <n v="2"/>
    <n v="80"/>
    <x v="1"/>
    <n v="15"/>
    <x v="1"/>
    <x v="0"/>
    <n v="0"/>
    <n v="0"/>
    <x v="0"/>
    <n v="0"/>
  </r>
  <r>
    <n v="37"/>
    <x v="1"/>
    <x v="0"/>
    <n v="1319"/>
    <x v="1"/>
    <x v="16"/>
    <x v="3"/>
    <s v="Medical"/>
    <n v="1"/>
    <n v="474"/>
    <n v="3"/>
    <x v="1"/>
    <n v="51"/>
    <x v="2"/>
    <n v="2"/>
    <x v="1"/>
    <n v="1"/>
    <x v="2"/>
    <n v="5974"/>
    <n v="17001"/>
    <n v="4"/>
    <s v="Y"/>
    <x v="0"/>
    <n v="13"/>
    <x v="0"/>
    <n v="1"/>
    <n v="80"/>
    <x v="3"/>
    <n v="13"/>
    <x v="2"/>
    <x v="1"/>
    <n v="7"/>
    <n v="7"/>
    <x v="7"/>
    <n v="7"/>
  </r>
  <r>
    <n v="30"/>
    <x v="1"/>
    <x v="2"/>
    <n v="641"/>
    <x v="0"/>
    <x v="19"/>
    <x v="0"/>
    <s v="Technical Degree"/>
    <n v="1"/>
    <n v="475"/>
    <n v="4"/>
    <x v="0"/>
    <n v="85"/>
    <x v="0"/>
    <n v="2"/>
    <x v="0"/>
    <n v="3"/>
    <x v="1"/>
    <n v="4736"/>
    <n v="6069"/>
    <n v="7"/>
    <s v="Y"/>
    <x v="0"/>
    <n v="12"/>
    <x v="0"/>
    <n v="2"/>
    <n v="80"/>
    <x v="1"/>
    <n v="4"/>
    <x v="2"/>
    <x v="3"/>
    <n v="2"/>
    <n v="2"/>
    <x v="3"/>
    <n v="2"/>
  </r>
  <r>
    <n v="26"/>
    <x v="1"/>
    <x v="0"/>
    <n v="933"/>
    <x v="0"/>
    <x v="0"/>
    <x v="3"/>
    <s v="Life Sciences"/>
    <n v="1"/>
    <n v="476"/>
    <n v="3"/>
    <x v="1"/>
    <n v="57"/>
    <x v="0"/>
    <n v="2"/>
    <x v="0"/>
    <n v="3"/>
    <x v="1"/>
    <n v="5296"/>
    <n v="20156"/>
    <n v="1"/>
    <s v="Y"/>
    <x v="1"/>
    <n v="17"/>
    <x v="0"/>
    <n v="2"/>
    <n v="80"/>
    <x v="1"/>
    <n v="8"/>
    <x v="1"/>
    <x v="1"/>
    <n v="8"/>
    <n v="7"/>
    <x v="4"/>
    <n v="7"/>
  </r>
  <r>
    <n v="42"/>
    <x v="1"/>
    <x v="0"/>
    <n v="1332"/>
    <x v="1"/>
    <x v="2"/>
    <x v="2"/>
    <s v="Other"/>
    <n v="1"/>
    <n v="477"/>
    <n v="1"/>
    <x v="1"/>
    <n v="98"/>
    <x v="1"/>
    <n v="2"/>
    <x v="4"/>
    <n v="4"/>
    <x v="0"/>
    <n v="6781"/>
    <n v="17078"/>
    <n v="3"/>
    <s v="Y"/>
    <x v="1"/>
    <n v="23"/>
    <x v="1"/>
    <n v="2"/>
    <n v="80"/>
    <x v="0"/>
    <n v="14"/>
    <x v="6"/>
    <x v="1"/>
    <n v="1"/>
    <n v="0"/>
    <x v="0"/>
    <n v="0"/>
  </r>
  <r>
    <n v="21"/>
    <x v="0"/>
    <x v="1"/>
    <n v="756"/>
    <x v="0"/>
    <x v="0"/>
    <x v="1"/>
    <s v="Technical Degree"/>
    <n v="1"/>
    <n v="478"/>
    <n v="1"/>
    <x v="0"/>
    <n v="99"/>
    <x v="1"/>
    <n v="1"/>
    <x v="6"/>
    <n v="2"/>
    <x v="0"/>
    <n v="2174"/>
    <n v="9150"/>
    <n v="1"/>
    <s v="Y"/>
    <x v="0"/>
    <n v="11"/>
    <x v="0"/>
    <n v="3"/>
    <n v="80"/>
    <x v="0"/>
    <n v="3"/>
    <x v="1"/>
    <x v="1"/>
    <n v="3"/>
    <n v="2"/>
    <x v="1"/>
    <n v="2"/>
  </r>
  <r>
    <n v="36"/>
    <x v="1"/>
    <x v="2"/>
    <n v="845"/>
    <x v="0"/>
    <x v="0"/>
    <x v="4"/>
    <s v="Medical"/>
    <n v="1"/>
    <n v="479"/>
    <n v="4"/>
    <x v="0"/>
    <n v="45"/>
    <x v="0"/>
    <n v="2"/>
    <x v="0"/>
    <n v="4"/>
    <x v="0"/>
    <n v="6653"/>
    <n v="15276"/>
    <n v="4"/>
    <s v="Y"/>
    <x v="1"/>
    <n v="15"/>
    <x v="0"/>
    <n v="2"/>
    <n v="80"/>
    <x v="0"/>
    <n v="7"/>
    <x v="6"/>
    <x v="1"/>
    <n v="1"/>
    <n v="0"/>
    <x v="0"/>
    <n v="0"/>
  </r>
  <r>
    <n v="36"/>
    <x v="1"/>
    <x v="1"/>
    <n v="541"/>
    <x v="0"/>
    <x v="3"/>
    <x v="2"/>
    <s v="Medical"/>
    <n v="1"/>
    <n v="481"/>
    <n v="1"/>
    <x v="1"/>
    <n v="48"/>
    <x v="1"/>
    <n v="3"/>
    <x v="0"/>
    <n v="4"/>
    <x v="1"/>
    <n v="9699"/>
    <n v="7246"/>
    <n v="4"/>
    <s v="Y"/>
    <x v="1"/>
    <n v="11"/>
    <x v="0"/>
    <n v="1"/>
    <n v="80"/>
    <x v="1"/>
    <n v="16"/>
    <x v="2"/>
    <x v="1"/>
    <n v="13"/>
    <n v="9"/>
    <x v="1"/>
    <n v="12"/>
  </r>
  <r>
    <n v="57"/>
    <x v="1"/>
    <x v="0"/>
    <n v="593"/>
    <x v="1"/>
    <x v="0"/>
    <x v="2"/>
    <s v="Medical"/>
    <n v="1"/>
    <n v="482"/>
    <n v="4"/>
    <x v="1"/>
    <n v="88"/>
    <x v="0"/>
    <n v="2"/>
    <x v="4"/>
    <n v="3"/>
    <x v="1"/>
    <n v="6755"/>
    <n v="2967"/>
    <n v="2"/>
    <s v="Y"/>
    <x v="1"/>
    <n v="11"/>
    <x v="0"/>
    <n v="3"/>
    <n v="80"/>
    <x v="0"/>
    <n v="15"/>
    <x v="2"/>
    <x v="1"/>
    <n v="3"/>
    <n v="2"/>
    <x v="1"/>
    <n v="2"/>
  </r>
  <r>
    <n v="40"/>
    <x v="1"/>
    <x v="0"/>
    <n v="1171"/>
    <x v="1"/>
    <x v="17"/>
    <x v="2"/>
    <s v="Life Sciences"/>
    <n v="1"/>
    <n v="483"/>
    <n v="4"/>
    <x v="0"/>
    <n v="46"/>
    <x v="2"/>
    <n v="1"/>
    <x v="2"/>
    <n v="3"/>
    <x v="1"/>
    <n v="2213"/>
    <n v="22495"/>
    <n v="3"/>
    <s v="Y"/>
    <x v="0"/>
    <n v="13"/>
    <x v="0"/>
    <n v="3"/>
    <n v="80"/>
    <x v="1"/>
    <n v="10"/>
    <x v="1"/>
    <x v="1"/>
    <n v="7"/>
    <n v="7"/>
    <x v="1"/>
    <n v="7"/>
  </r>
  <r>
    <n v="21"/>
    <x v="1"/>
    <x v="2"/>
    <n v="895"/>
    <x v="0"/>
    <x v="14"/>
    <x v="0"/>
    <s v="Medical"/>
    <n v="1"/>
    <n v="484"/>
    <n v="1"/>
    <x v="1"/>
    <n v="39"/>
    <x v="0"/>
    <n v="1"/>
    <x v="6"/>
    <n v="4"/>
    <x v="0"/>
    <n v="2610"/>
    <n v="2851"/>
    <n v="1"/>
    <s v="Y"/>
    <x v="1"/>
    <n v="24"/>
    <x v="1"/>
    <n v="3"/>
    <n v="80"/>
    <x v="0"/>
    <n v="3"/>
    <x v="1"/>
    <x v="2"/>
    <n v="3"/>
    <n v="2"/>
    <x v="3"/>
    <n v="2"/>
  </r>
  <r>
    <n v="33"/>
    <x v="0"/>
    <x v="0"/>
    <n v="350"/>
    <x v="0"/>
    <x v="12"/>
    <x v="3"/>
    <s v="Marketing"/>
    <n v="1"/>
    <n v="485"/>
    <n v="4"/>
    <x v="0"/>
    <n v="34"/>
    <x v="0"/>
    <n v="1"/>
    <x v="6"/>
    <n v="3"/>
    <x v="0"/>
    <n v="2851"/>
    <n v="9150"/>
    <n v="1"/>
    <s v="Y"/>
    <x v="0"/>
    <n v="13"/>
    <x v="0"/>
    <n v="2"/>
    <n v="80"/>
    <x v="0"/>
    <n v="1"/>
    <x v="2"/>
    <x v="1"/>
    <n v="1"/>
    <n v="0"/>
    <x v="0"/>
    <n v="0"/>
  </r>
  <r>
    <n v="37"/>
    <x v="1"/>
    <x v="0"/>
    <n v="921"/>
    <x v="1"/>
    <x v="17"/>
    <x v="3"/>
    <s v="Medical"/>
    <n v="1"/>
    <n v="486"/>
    <n v="3"/>
    <x v="0"/>
    <n v="98"/>
    <x v="0"/>
    <n v="1"/>
    <x v="2"/>
    <n v="1"/>
    <x v="1"/>
    <n v="3452"/>
    <n v="17663"/>
    <n v="6"/>
    <s v="Y"/>
    <x v="1"/>
    <n v="20"/>
    <x v="1"/>
    <n v="2"/>
    <n v="80"/>
    <x v="1"/>
    <n v="17"/>
    <x v="1"/>
    <x v="1"/>
    <n v="5"/>
    <n v="4"/>
    <x v="0"/>
    <n v="3"/>
  </r>
  <r>
    <n v="46"/>
    <x v="1"/>
    <x v="2"/>
    <n v="1144"/>
    <x v="1"/>
    <x v="15"/>
    <x v="2"/>
    <s v="Medical"/>
    <n v="1"/>
    <n v="487"/>
    <n v="3"/>
    <x v="0"/>
    <n v="30"/>
    <x v="0"/>
    <n v="2"/>
    <x v="3"/>
    <n v="3"/>
    <x v="1"/>
    <n v="5258"/>
    <n v="16044"/>
    <n v="2"/>
    <s v="Y"/>
    <x v="1"/>
    <n v="14"/>
    <x v="0"/>
    <n v="3"/>
    <n v="80"/>
    <x v="0"/>
    <n v="7"/>
    <x v="2"/>
    <x v="3"/>
    <n v="1"/>
    <n v="0"/>
    <x v="0"/>
    <n v="0"/>
  </r>
  <r>
    <n v="41"/>
    <x v="0"/>
    <x v="1"/>
    <n v="143"/>
    <x v="0"/>
    <x v="18"/>
    <x v="3"/>
    <s v="Marketing"/>
    <n v="1"/>
    <n v="488"/>
    <n v="1"/>
    <x v="1"/>
    <n v="56"/>
    <x v="0"/>
    <n v="2"/>
    <x v="0"/>
    <n v="2"/>
    <x v="0"/>
    <n v="9355"/>
    <n v="9558"/>
    <n v="1"/>
    <s v="Y"/>
    <x v="1"/>
    <n v="18"/>
    <x v="0"/>
    <n v="3"/>
    <n v="80"/>
    <x v="0"/>
    <n v="8"/>
    <x v="3"/>
    <x v="1"/>
    <n v="8"/>
    <n v="7"/>
    <x v="4"/>
    <n v="7"/>
  </r>
  <r>
    <n v="50"/>
    <x v="1"/>
    <x v="0"/>
    <n v="1046"/>
    <x v="1"/>
    <x v="17"/>
    <x v="3"/>
    <s v="Technical Degree"/>
    <n v="1"/>
    <n v="491"/>
    <n v="4"/>
    <x v="1"/>
    <n v="100"/>
    <x v="1"/>
    <n v="3"/>
    <x v="4"/>
    <n v="4"/>
    <x v="0"/>
    <n v="10496"/>
    <n v="2755"/>
    <n v="6"/>
    <s v="Y"/>
    <x v="1"/>
    <n v="15"/>
    <x v="0"/>
    <n v="4"/>
    <n v="80"/>
    <x v="0"/>
    <n v="20"/>
    <x v="2"/>
    <x v="1"/>
    <n v="4"/>
    <n v="3"/>
    <x v="1"/>
    <n v="3"/>
  </r>
  <r>
    <n v="40"/>
    <x v="0"/>
    <x v="0"/>
    <n v="575"/>
    <x v="0"/>
    <x v="23"/>
    <x v="0"/>
    <s v="Marketing"/>
    <n v="1"/>
    <n v="492"/>
    <n v="3"/>
    <x v="1"/>
    <n v="68"/>
    <x v="1"/>
    <n v="2"/>
    <x v="0"/>
    <n v="3"/>
    <x v="1"/>
    <n v="6380"/>
    <n v="6110"/>
    <n v="2"/>
    <s v="Y"/>
    <x v="0"/>
    <n v="12"/>
    <x v="0"/>
    <n v="1"/>
    <n v="80"/>
    <x v="3"/>
    <n v="8"/>
    <x v="6"/>
    <x v="1"/>
    <n v="6"/>
    <n v="4"/>
    <x v="1"/>
    <n v="0"/>
  </r>
  <r>
    <n v="31"/>
    <x v="1"/>
    <x v="0"/>
    <n v="408"/>
    <x v="1"/>
    <x v="14"/>
    <x v="2"/>
    <s v="Life Sciences"/>
    <n v="1"/>
    <n v="493"/>
    <n v="3"/>
    <x v="1"/>
    <n v="42"/>
    <x v="1"/>
    <n v="1"/>
    <x v="1"/>
    <n v="2"/>
    <x v="0"/>
    <n v="2657"/>
    <n v="7551"/>
    <n v="0"/>
    <s v="Y"/>
    <x v="0"/>
    <n v="16"/>
    <x v="0"/>
    <n v="4"/>
    <n v="80"/>
    <x v="0"/>
    <n v="3"/>
    <x v="3"/>
    <x v="1"/>
    <n v="2"/>
    <n v="2"/>
    <x v="3"/>
    <n v="2"/>
  </r>
  <r>
    <n v="21"/>
    <x v="0"/>
    <x v="0"/>
    <n v="156"/>
    <x v="0"/>
    <x v="20"/>
    <x v="3"/>
    <s v="Life Sciences"/>
    <n v="1"/>
    <n v="494"/>
    <n v="3"/>
    <x v="0"/>
    <n v="90"/>
    <x v="2"/>
    <n v="1"/>
    <x v="6"/>
    <n v="2"/>
    <x v="0"/>
    <n v="2716"/>
    <n v="25422"/>
    <n v="1"/>
    <s v="Y"/>
    <x v="1"/>
    <n v="15"/>
    <x v="0"/>
    <n v="4"/>
    <n v="80"/>
    <x v="0"/>
    <n v="1"/>
    <x v="0"/>
    <x v="1"/>
    <n v="1"/>
    <n v="0"/>
    <x v="0"/>
    <n v="0"/>
  </r>
  <r>
    <n v="29"/>
    <x v="1"/>
    <x v="0"/>
    <n v="1283"/>
    <x v="1"/>
    <x v="5"/>
    <x v="3"/>
    <s v="Life Sciences"/>
    <n v="1"/>
    <n v="495"/>
    <n v="4"/>
    <x v="1"/>
    <n v="54"/>
    <x v="0"/>
    <n v="1"/>
    <x v="1"/>
    <n v="4"/>
    <x v="0"/>
    <n v="2201"/>
    <n v="18168"/>
    <n v="9"/>
    <s v="Y"/>
    <x v="1"/>
    <n v="16"/>
    <x v="0"/>
    <n v="4"/>
    <n v="80"/>
    <x v="0"/>
    <n v="6"/>
    <x v="5"/>
    <x v="1"/>
    <n v="3"/>
    <n v="2"/>
    <x v="1"/>
    <n v="2"/>
  </r>
  <r>
    <n v="35"/>
    <x v="1"/>
    <x v="0"/>
    <n v="755"/>
    <x v="1"/>
    <x v="14"/>
    <x v="2"/>
    <s v="Life Sciences"/>
    <n v="1"/>
    <n v="496"/>
    <n v="3"/>
    <x v="1"/>
    <n v="97"/>
    <x v="1"/>
    <n v="2"/>
    <x v="4"/>
    <n v="2"/>
    <x v="0"/>
    <n v="6540"/>
    <n v="19394"/>
    <n v="9"/>
    <s v="Y"/>
    <x v="1"/>
    <n v="19"/>
    <x v="0"/>
    <n v="3"/>
    <n v="80"/>
    <x v="0"/>
    <n v="10"/>
    <x v="3"/>
    <x v="1"/>
    <n v="1"/>
    <n v="1"/>
    <x v="0"/>
    <n v="0"/>
  </r>
  <r>
    <n v="27"/>
    <x v="1"/>
    <x v="0"/>
    <n v="1469"/>
    <x v="1"/>
    <x v="0"/>
    <x v="0"/>
    <s v="Medical"/>
    <n v="1"/>
    <n v="497"/>
    <n v="4"/>
    <x v="1"/>
    <n v="82"/>
    <x v="0"/>
    <n v="1"/>
    <x v="2"/>
    <n v="2"/>
    <x v="2"/>
    <n v="3816"/>
    <n v="17881"/>
    <n v="1"/>
    <s v="Y"/>
    <x v="1"/>
    <n v="11"/>
    <x v="0"/>
    <n v="2"/>
    <n v="80"/>
    <x v="1"/>
    <n v="5"/>
    <x v="2"/>
    <x v="1"/>
    <n v="5"/>
    <n v="2"/>
    <x v="0"/>
    <n v="4"/>
  </r>
  <r>
    <n v="28"/>
    <x v="1"/>
    <x v="0"/>
    <n v="304"/>
    <x v="0"/>
    <x v="14"/>
    <x v="2"/>
    <s v="Life Sciences"/>
    <n v="1"/>
    <n v="498"/>
    <n v="2"/>
    <x v="1"/>
    <n v="92"/>
    <x v="0"/>
    <n v="2"/>
    <x v="0"/>
    <n v="4"/>
    <x v="0"/>
    <n v="5253"/>
    <n v="20750"/>
    <n v="1"/>
    <s v="Y"/>
    <x v="1"/>
    <n v="16"/>
    <x v="0"/>
    <n v="4"/>
    <n v="80"/>
    <x v="0"/>
    <n v="7"/>
    <x v="4"/>
    <x v="1"/>
    <n v="7"/>
    <n v="5"/>
    <x v="0"/>
    <n v="7"/>
  </r>
  <r>
    <n v="49"/>
    <x v="1"/>
    <x v="0"/>
    <n v="1261"/>
    <x v="1"/>
    <x v="15"/>
    <x v="3"/>
    <s v="Other"/>
    <n v="1"/>
    <n v="499"/>
    <n v="2"/>
    <x v="1"/>
    <n v="31"/>
    <x v="1"/>
    <n v="3"/>
    <x v="4"/>
    <n v="3"/>
    <x v="0"/>
    <n v="10965"/>
    <n v="12066"/>
    <n v="8"/>
    <s v="Y"/>
    <x v="1"/>
    <n v="24"/>
    <x v="1"/>
    <n v="3"/>
    <n v="80"/>
    <x v="0"/>
    <n v="26"/>
    <x v="2"/>
    <x v="1"/>
    <n v="5"/>
    <n v="2"/>
    <x v="0"/>
    <n v="0"/>
  </r>
  <r>
    <n v="51"/>
    <x v="1"/>
    <x v="0"/>
    <n v="1178"/>
    <x v="0"/>
    <x v="24"/>
    <x v="0"/>
    <s v="Life Sciences"/>
    <n v="1"/>
    <n v="500"/>
    <n v="3"/>
    <x v="0"/>
    <n v="87"/>
    <x v="0"/>
    <n v="2"/>
    <x v="0"/>
    <n v="4"/>
    <x v="1"/>
    <n v="4936"/>
    <n v="14862"/>
    <n v="4"/>
    <s v="Y"/>
    <x v="1"/>
    <n v="11"/>
    <x v="0"/>
    <n v="3"/>
    <n v="80"/>
    <x v="1"/>
    <n v="18"/>
    <x v="2"/>
    <x v="2"/>
    <n v="7"/>
    <n v="7"/>
    <x v="0"/>
    <n v="7"/>
  </r>
  <r>
    <n v="36"/>
    <x v="1"/>
    <x v="0"/>
    <n v="329"/>
    <x v="1"/>
    <x v="2"/>
    <x v="3"/>
    <s v="Life Sciences"/>
    <n v="1"/>
    <n v="501"/>
    <n v="4"/>
    <x v="0"/>
    <n v="96"/>
    <x v="0"/>
    <n v="1"/>
    <x v="1"/>
    <n v="3"/>
    <x v="1"/>
    <n v="2543"/>
    <n v="11868"/>
    <n v="4"/>
    <s v="Y"/>
    <x v="1"/>
    <n v="13"/>
    <x v="0"/>
    <n v="2"/>
    <n v="80"/>
    <x v="1"/>
    <n v="6"/>
    <x v="1"/>
    <x v="1"/>
    <n v="2"/>
    <n v="2"/>
    <x v="3"/>
    <n v="2"/>
  </r>
  <r>
    <n v="34"/>
    <x v="0"/>
    <x v="2"/>
    <n v="1362"/>
    <x v="0"/>
    <x v="10"/>
    <x v="3"/>
    <s v="Marketing"/>
    <n v="1"/>
    <n v="502"/>
    <n v="1"/>
    <x v="1"/>
    <n v="67"/>
    <x v="2"/>
    <n v="2"/>
    <x v="0"/>
    <n v="4"/>
    <x v="0"/>
    <n v="5304"/>
    <n v="4652"/>
    <n v="8"/>
    <s v="Y"/>
    <x v="0"/>
    <n v="13"/>
    <x v="0"/>
    <n v="2"/>
    <n v="80"/>
    <x v="0"/>
    <n v="9"/>
    <x v="1"/>
    <x v="2"/>
    <n v="5"/>
    <n v="2"/>
    <x v="0"/>
    <n v="4"/>
  </r>
  <r>
    <n v="55"/>
    <x v="1"/>
    <x v="0"/>
    <n v="1311"/>
    <x v="1"/>
    <x v="2"/>
    <x v="3"/>
    <s v="Life Sciences"/>
    <n v="1"/>
    <n v="505"/>
    <n v="3"/>
    <x v="0"/>
    <n v="97"/>
    <x v="0"/>
    <n v="4"/>
    <x v="5"/>
    <n v="4"/>
    <x v="0"/>
    <n v="16659"/>
    <n v="23258"/>
    <n v="2"/>
    <s v="Y"/>
    <x v="0"/>
    <n v="13"/>
    <x v="0"/>
    <n v="3"/>
    <n v="80"/>
    <x v="0"/>
    <n v="30"/>
    <x v="2"/>
    <x v="1"/>
    <n v="5"/>
    <n v="4"/>
    <x v="1"/>
    <n v="2"/>
  </r>
  <r>
    <n v="24"/>
    <x v="1"/>
    <x v="0"/>
    <n v="1371"/>
    <x v="0"/>
    <x v="17"/>
    <x v="2"/>
    <s v="Marketing"/>
    <n v="1"/>
    <n v="507"/>
    <n v="4"/>
    <x v="0"/>
    <n v="77"/>
    <x v="0"/>
    <n v="2"/>
    <x v="0"/>
    <n v="3"/>
    <x v="2"/>
    <n v="4260"/>
    <n v="5915"/>
    <n v="1"/>
    <s v="Y"/>
    <x v="0"/>
    <n v="12"/>
    <x v="0"/>
    <n v="4"/>
    <n v="80"/>
    <x v="1"/>
    <n v="5"/>
    <x v="2"/>
    <x v="3"/>
    <n v="5"/>
    <n v="2"/>
    <x v="0"/>
    <n v="3"/>
  </r>
  <r>
    <n v="30"/>
    <x v="1"/>
    <x v="0"/>
    <n v="202"/>
    <x v="0"/>
    <x v="2"/>
    <x v="1"/>
    <s v="Technical Degree"/>
    <n v="1"/>
    <n v="508"/>
    <n v="3"/>
    <x v="1"/>
    <n v="72"/>
    <x v="0"/>
    <n v="1"/>
    <x v="6"/>
    <n v="2"/>
    <x v="1"/>
    <n v="2476"/>
    <n v="17434"/>
    <n v="1"/>
    <s v="Y"/>
    <x v="1"/>
    <n v="18"/>
    <x v="0"/>
    <n v="1"/>
    <n v="80"/>
    <x v="1"/>
    <n v="1"/>
    <x v="1"/>
    <x v="1"/>
    <n v="1"/>
    <n v="0"/>
    <x v="0"/>
    <n v="0"/>
  </r>
  <r>
    <n v="26"/>
    <x v="0"/>
    <x v="1"/>
    <n v="575"/>
    <x v="1"/>
    <x v="3"/>
    <x v="1"/>
    <s v="Technical Degree"/>
    <n v="1"/>
    <n v="510"/>
    <n v="3"/>
    <x v="1"/>
    <n v="73"/>
    <x v="0"/>
    <n v="1"/>
    <x v="1"/>
    <n v="1"/>
    <x v="0"/>
    <n v="3102"/>
    <n v="6582"/>
    <n v="0"/>
    <s v="Y"/>
    <x v="1"/>
    <n v="22"/>
    <x v="1"/>
    <n v="3"/>
    <n v="80"/>
    <x v="0"/>
    <n v="7"/>
    <x v="2"/>
    <x v="1"/>
    <n v="6"/>
    <n v="4"/>
    <x v="0"/>
    <n v="4"/>
  </r>
  <r>
    <n v="22"/>
    <x v="1"/>
    <x v="0"/>
    <n v="253"/>
    <x v="1"/>
    <x v="13"/>
    <x v="3"/>
    <s v="Medical"/>
    <n v="1"/>
    <n v="511"/>
    <n v="1"/>
    <x v="0"/>
    <n v="43"/>
    <x v="0"/>
    <n v="1"/>
    <x v="1"/>
    <n v="2"/>
    <x v="1"/>
    <n v="2244"/>
    <n v="24440"/>
    <n v="1"/>
    <s v="Y"/>
    <x v="1"/>
    <n v="13"/>
    <x v="0"/>
    <n v="4"/>
    <n v="80"/>
    <x v="1"/>
    <n v="2"/>
    <x v="4"/>
    <x v="1"/>
    <n v="2"/>
    <n v="1"/>
    <x v="1"/>
    <n v="2"/>
  </r>
  <r>
    <n v="36"/>
    <x v="1"/>
    <x v="0"/>
    <n v="164"/>
    <x v="0"/>
    <x v="2"/>
    <x v="0"/>
    <s v="Medical"/>
    <n v="1"/>
    <n v="513"/>
    <n v="2"/>
    <x v="1"/>
    <n v="61"/>
    <x v="1"/>
    <n v="3"/>
    <x v="0"/>
    <n v="3"/>
    <x v="1"/>
    <n v="7596"/>
    <n v="3809"/>
    <n v="1"/>
    <s v="Y"/>
    <x v="1"/>
    <n v="13"/>
    <x v="0"/>
    <n v="2"/>
    <n v="80"/>
    <x v="3"/>
    <n v="10"/>
    <x v="2"/>
    <x v="1"/>
    <n v="10"/>
    <n v="9"/>
    <x v="10"/>
    <n v="0"/>
  </r>
  <r>
    <n v="30"/>
    <x v="0"/>
    <x v="1"/>
    <n v="464"/>
    <x v="1"/>
    <x v="18"/>
    <x v="3"/>
    <s v="Technical Degree"/>
    <n v="1"/>
    <n v="514"/>
    <n v="3"/>
    <x v="1"/>
    <n v="40"/>
    <x v="0"/>
    <n v="1"/>
    <x v="1"/>
    <n v="4"/>
    <x v="0"/>
    <n v="2285"/>
    <n v="3427"/>
    <n v="9"/>
    <s v="Y"/>
    <x v="0"/>
    <n v="23"/>
    <x v="1"/>
    <n v="3"/>
    <n v="80"/>
    <x v="0"/>
    <n v="3"/>
    <x v="5"/>
    <x v="1"/>
    <n v="1"/>
    <n v="0"/>
    <x v="0"/>
    <n v="0"/>
  </r>
  <r>
    <n v="37"/>
    <x v="1"/>
    <x v="0"/>
    <n v="1107"/>
    <x v="1"/>
    <x v="24"/>
    <x v="3"/>
    <s v="Life Sciences"/>
    <n v="1"/>
    <n v="515"/>
    <n v="4"/>
    <x v="0"/>
    <n v="95"/>
    <x v="0"/>
    <n v="1"/>
    <x v="2"/>
    <n v="1"/>
    <x v="2"/>
    <n v="3034"/>
    <n v="26914"/>
    <n v="1"/>
    <s v="Y"/>
    <x v="1"/>
    <n v="12"/>
    <x v="0"/>
    <n v="3"/>
    <n v="80"/>
    <x v="1"/>
    <n v="18"/>
    <x v="2"/>
    <x v="2"/>
    <n v="18"/>
    <n v="7"/>
    <x v="12"/>
    <n v="17"/>
  </r>
  <r>
    <n v="40"/>
    <x v="1"/>
    <x v="0"/>
    <n v="759"/>
    <x v="0"/>
    <x v="2"/>
    <x v="0"/>
    <s v="Marketing"/>
    <n v="1"/>
    <n v="516"/>
    <n v="4"/>
    <x v="0"/>
    <n v="46"/>
    <x v="0"/>
    <n v="2"/>
    <x v="0"/>
    <n v="2"/>
    <x v="2"/>
    <n v="5715"/>
    <n v="22553"/>
    <n v="7"/>
    <s v="Y"/>
    <x v="1"/>
    <n v="12"/>
    <x v="0"/>
    <n v="3"/>
    <n v="80"/>
    <x v="3"/>
    <n v="8"/>
    <x v="3"/>
    <x v="1"/>
    <n v="5"/>
    <n v="4"/>
    <x v="1"/>
    <n v="3"/>
  </r>
  <r>
    <n v="42"/>
    <x v="1"/>
    <x v="0"/>
    <n v="201"/>
    <x v="1"/>
    <x v="0"/>
    <x v="2"/>
    <s v="Life Sciences"/>
    <n v="1"/>
    <n v="517"/>
    <n v="2"/>
    <x v="0"/>
    <n v="95"/>
    <x v="0"/>
    <n v="1"/>
    <x v="2"/>
    <n v="1"/>
    <x v="2"/>
    <n v="2576"/>
    <n v="20490"/>
    <n v="3"/>
    <s v="Y"/>
    <x v="1"/>
    <n v="16"/>
    <x v="0"/>
    <n v="2"/>
    <n v="80"/>
    <x v="1"/>
    <n v="8"/>
    <x v="3"/>
    <x v="1"/>
    <n v="5"/>
    <n v="2"/>
    <x v="1"/>
    <n v="2"/>
  </r>
  <r>
    <n v="37"/>
    <x v="1"/>
    <x v="0"/>
    <n v="1305"/>
    <x v="1"/>
    <x v="17"/>
    <x v="2"/>
    <s v="Life Sciences"/>
    <n v="1"/>
    <n v="518"/>
    <n v="3"/>
    <x v="1"/>
    <n v="49"/>
    <x v="0"/>
    <n v="2"/>
    <x v="3"/>
    <n v="2"/>
    <x v="0"/>
    <n v="4197"/>
    <n v="21123"/>
    <n v="2"/>
    <s v="Y"/>
    <x v="0"/>
    <n v="12"/>
    <x v="0"/>
    <n v="4"/>
    <n v="80"/>
    <x v="0"/>
    <n v="18"/>
    <x v="2"/>
    <x v="2"/>
    <n v="1"/>
    <n v="0"/>
    <x v="0"/>
    <n v="1"/>
  </r>
  <r>
    <n v="43"/>
    <x v="1"/>
    <x v="0"/>
    <n v="982"/>
    <x v="1"/>
    <x v="20"/>
    <x v="3"/>
    <s v="Life Sciences"/>
    <n v="1"/>
    <n v="520"/>
    <n v="1"/>
    <x v="1"/>
    <n v="59"/>
    <x v="1"/>
    <n v="4"/>
    <x v="7"/>
    <n v="2"/>
    <x v="2"/>
    <n v="14336"/>
    <n v="4345"/>
    <n v="1"/>
    <s v="Y"/>
    <x v="1"/>
    <n v="11"/>
    <x v="0"/>
    <n v="3"/>
    <n v="80"/>
    <x v="1"/>
    <n v="25"/>
    <x v="1"/>
    <x v="1"/>
    <n v="25"/>
    <n v="10"/>
    <x v="2"/>
    <n v="9"/>
  </r>
  <r>
    <n v="40"/>
    <x v="1"/>
    <x v="0"/>
    <n v="555"/>
    <x v="1"/>
    <x v="2"/>
    <x v="3"/>
    <s v="Medical"/>
    <n v="1"/>
    <n v="521"/>
    <n v="2"/>
    <x v="0"/>
    <n v="78"/>
    <x v="1"/>
    <n v="2"/>
    <x v="2"/>
    <n v="3"/>
    <x v="1"/>
    <n v="3448"/>
    <n v="13436"/>
    <n v="6"/>
    <s v="Y"/>
    <x v="1"/>
    <n v="22"/>
    <x v="1"/>
    <n v="2"/>
    <n v="80"/>
    <x v="1"/>
    <n v="20"/>
    <x v="1"/>
    <x v="1"/>
    <n v="1"/>
    <n v="0"/>
    <x v="0"/>
    <n v="0"/>
  </r>
  <r>
    <n v="54"/>
    <x v="1"/>
    <x v="0"/>
    <n v="821"/>
    <x v="1"/>
    <x v="12"/>
    <x v="0"/>
    <s v="Medical"/>
    <n v="1"/>
    <n v="522"/>
    <n v="1"/>
    <x v="1"/>
    <n v="86"/>
    <x v="0"/>
    <n v="5"/>
    <x v="7"/>
    <n v="1"/>
    <x v="1"/>
    <n v="19406"/>
    <n v="8509"/>
    <n v="4"/>
    <s v="Y"/>
    <x v="1"/>
    <n v="11"/>
    <x v="0"/>
    <n v="3"/>
    <n v="80"/>
    <x v="1"/>
    <n v="24"/>
    <x v="5"/>
    <x v="2"/>
    <n v="4"/>
    <n v="2"/>
    <x v="1"/>
    <n v="2"/>
  </r>
  <r>
    <n v="34"/>
    <x v="1"/>
    <x v="2"/>
    <n v="1381"/>
    <x v="0"/>
    <x v="18"/>
    <x v="2"/>
    <s v="Marketing"/>
    <n v="1"/>
    <n v="523"/>
    <n v="3"/>
    <x v="0"/>
    <n v="72"/>
    <x v="0"/>
    <n v="2"/>
    <x v="0"/>
    <n v="3"/>
    <x v="1"/>
    <n v="6538"/>
    <n v="12740"/>
    <n v="9"/>
    <s v="Y"/>
    <x v="1"/>
    <n v="15"/>
    <x v="0"/>
    <n v="1"/>
    <n v="80"/>
    <x v="1"/>
    <n v="6"/>
    <x v="1"/>
    <x v="1"/>
    <n v="3"/>
    <n v="2"/>
    <x v="1"/>
    <n v="2"/>
  </r>
  <r>
    <n v="31"/>
    <x v="1"/>
    <x v="0"/>
    <n v="480"/>
    <x v="1"/>
    <x v="15"/>
    <x v="0"/>
    <s v="Medical"/>
    <n v="1"/>
    <n v="524"/>
    <n v="2"/>
    <x v="0"/>
    <n v="31"/>
    <x v="0"/>
    <n v="2"/>
    <x v="3"/>
    <n v="1"/>
    <x v="1"/>
    <n v="4306"/>
    <n v="4156"/>
    <n v="1"/>
    <s v="Y"/>
    <x v="1"/>
    <n v="12"/>
    <x v="0"/>
    <n v="2"/>
    <n v="80"/>
    <x v="1"/>
    <n v="13"/>
    <x v="3"/>
    <x v="0"/>
    <n v="13"/>
    <n v="10"/>
    <x v="2"/>
    <n v="12"/>
  </r>
  <r>
    <n v="43"/>
    <x v="1"/>
    <x v="1"/>
    <n v="313"/>
    <x v="1"/>
    <x v="11"/>
    <x v="3"/>
    <s v="Medical"/>
    <n v="1"/>
    <n v="525"/>
    <n v="4"/>
    <x v="1"/>
    <n v="61"/>
    <x v="0"/>
    <n v="1"/>
    <x v="2"/>
    <n v="4"/>
    <x v="1"/>
    <n v="2258"/>
    <n v="15238"/>
    <n v="7"/>
    <s v="Y"/>
    <x v="1"/>
    <n v="20"/>
    <x v="1"/>
    <n v="1"/>
    <n v="80"/>
    <x v="1"/>
    <n v="8"/>
    <x v="4"/>
    <x v="1"/>
    <n v="3"/>
    <n v="2"/>
    <x v="1"/>
    <n v="2"/>
  </r>
  <r>
    <n v="43"/>
    <x v="1"/>
    <x v="0"/>
    <n v="1473"/>
    <x v="1"/>
    <x v="1"/>
    <x v="2"/>
    <s v="Other"/>
    <n v="1"/>
    <n v="526"/>
    <n v="3"/>
    <x v="0"/>
    <n v="74"/>
    <x v="0"/>
    <n v="2"/>
    <x v="4"/>
    <n v="3"/>
    <x v="2"/>
    <n v="4522"/>
    <n v="2227"/>
    <n v="4"/>
    <s v="Y"/>
    <x v="0"/>
    <n v="14"/>
    <x v="0"/>
    <n v="4"/>
    <n v="80"/>
    <x v="0"/>
    <n v="8"/>
    <x v="1"/>
    <x v="1"/>
    <n v="5"/>
    <n v="2"/>
    <x v="0"/>
    <n v="2"/>
  </r>
  <r>
    <n v="25"/>
    <x v="1"/>
    <x v="0"/>
    <n v="891"/>
    <x v="0"/>
    <x v="18"/>
    <x v="0"/>
    <s v="Life Sciences"/>
    <n v="1"/>
    <n v="527"/>
    <n v="2"/>
    <x v="0"/>
    <n v="99"/>
    <x v="1"/>
    <n v="2"/>
    <x v="0"/>
    <n v="4"/>
    <x v="0"/>
    <n v="4487"/>
    <n v="12090"/>
    <n v="1"/>
    <s v="Y"/>
    <x v="0"/>
    <n v="11"/>
    <x v="0"/>
    <n v="2"/>
    <n v="80"/>
    <x v="0"/>
    <n v="5"/>
    <x v="1"/>
    <x v="1"/>
    <n v="5"/>
    <n v="4"/>
    <x v="1"/>
    <n v="3"/>
  </r>
  <r>
    <n v="37"/>
    <x v="1"/>
    <x v="2"/>
    <n v="1063"/>
    <x v="1"/>
    <x v="19"/>
    <x v="4"/>
    <s v="Medical"/>
    <n v="1"/>
    <n v="529"/>
    <n v="2"/>
    <x v="0"/>
    <n v="72"/>
    <x v="0"/>
    <n v="2"/>
    <x v="1"/>
    <n v="3"/>
    <x v="1"/>
    <n v="4449"/>
    <n v="23866"/>
    <n v="3"/>
    <s v="Y"/>
    <x v="0"/>
    <n v="15"/>
    <x v="0"/>
    <n v="1"/>
    <n v="80"/>
    <x v="3"/>
    <n v="15"/>
    <x v="2"/>
    <x v="1"/>
    <n v="13"/>
    <n v="11"/>
    <x v="13"/>
    <n v="7"/>
  </r>
  <r>
    <n v="31"/>
    <x v="1"/>
    <x v="0"/>
    <n v="329"/>
    <x v="1"/>
    <x v="0"/>
    <x v="0"/>
    <s v="Life Sciences"/>
    <n v="1"/>
    <n v="530"/>
    <n v="4"/>
    <x v="1"/>
    <n v="98"/>
    <x v="1"/>
    <n v="1"/>
    <x v="2"/>
    <n v="1"/>
    <x v="1"/>
    <n v="2218"/>
    <n v="16193"/>
    <n v="1"/>
    <s v="Y"/>
    <x v="1"/>
    <n v="12"/>
    <x v="0"/>
    <n v="3"/>
    <n v="80"/>
    <x v="1"/>
    <n v="4"/>
    <x v="1"/>
    <x v="1"/>
    <n v="4"/>
    <n v="2"/>
    <x v="2"/>
    <n v="2"/>
  </r>
  <r>
    <n v="39"/>
    <x v="1"/>
    <x v="1"/>
    <n v="1218"/>
    <x v="1"/>
    <x v="0"/>
    <x v="1"/>
    <s v="Life Sciences"/>
    <n v="1"/>
    <n v="531"/>
    <n v="2"/>
    <x v="1"/>
    <n v="52"/>
    <x v="0"/>
    <n v="5"/>
    <x v="5"/>
    <n v="3"/>
    <x v="2"/>
    <n v="19197"/>
    <n v="8213"/>
    <n v="1"/>
    <s v="Y"/>
    <x v="0"/>
    <n v="14"/>
    <x v="0"/>
    <n v="3"/>
    <n v="80"/>
    <x v="1"/>
    <n v="21"/>
    <x v="1"/>
    <x v="1"/>
    <n v="21"/>
    <n v="8"/>
    <x v="1"/>
    <n v="6"/>
  </r>
  <r>
    <n v="56"/>
    <x v="1"/>
    <x v="1"/>
    <n v="906"/>
    <x v="0"/>
    <x v="16"/>
    <x v="3"/>
    <s v="Life Sciences"/>
    <n v="1"/>
    <n v="532"/>
    <n v="3"/>
    <x v="0"/>
    <n v="86"/>
    <x v="2"/>
    <n v="4"/>
    <x v="0"/>
    <n v="1"/>
    <x v="1"/>
    <n v="13212"/>
    <n v="18256"/>
    <n v="9"/>
    <s v="Y"/>
    <x v="1"/>
    <n v="11"/>
    <x v="0"/>
    <n v="4"/>
    <n v="80"/>
    <x v="2"/>
    <n v="36"/>
    <x v="0"/>
    <x v="2"/>
    <n v="7"/>
    <n v="7"/>
    <x v="4"/>
    <n v="7"/>
  </r>
  <r>
    <n v="30"/>
    <x v="1"/>
    <x v="0"/>
    <n v="1082"/>
    <x v="0"/>
    <x v="20"/>
    <x v="3"/>
    <s v="Technical Degree"/>
    <n v="1"/>
    <n v="533"/>
    <n v="2"/>
    <x v="0"/>
    <n v="83"/>
    <x v="0"/>
    <n v="2"/>
    <x v="0"/>
    <n v="3"/>
    <x v="0"/>
    <n v="6577"/>
    <n v="19558"/>
    <n v="0"/>
    <s v="Y"/>
    <x v="1"/>
    <n v="11"/>
    <x v="0"/>
    <n v="2"/>
    <n v="80"/>
    <x v="0"/>
    <n v="6"/>
    <x v="6"/>
    <x v="1"/>
    <n v="5"/>
    <n v="4"/>
    <x v="5"/>
    <n v="4"/>
  </r>
  <r>
    <n v="41"/>
    <x v="1"/>
    <x v="0"/>
    <n v="645"/>
    <x v="0"/>
    <x v="0"/>
    <x v="3"/>
    <s v="Marketing"/>
    <n v="1"/>
    <n v="534"/>
    <n v="2"/>
    <x v="1"/>
    <n v="49"/>
    <x v="2"/>
    <n v="3"/>
    <x v="0"/>
    <n v="1"/>
    <x v="1"/>
    <n v="8392"/>
    <n v="19566"/>
    <n v="1"/>
    <s v="Y"/>
    <x v="1"/>
    <n v="16"/>
    <x v="0"/>
    <n v="3"/>
    <n v="80"/>
    <x v="1"/>
    <n v="10"/>
    <x v="2"/>
    <x v="1"/>
    <n v="10"/>
    <n v="7"/>
    <x v="0"/>
    <n v="7"/>
  </r>
  <r>
    <n v="28"/>
    <x v="1"/>
    <x v="0"/>
    <n v="1300"/>
    <x v="1"/>
    <x v="27"/>
    <x v="0"/>
    <s v="Medical"/>
    <n v="1"/>
    <n v="536"/>
    <n v="3"/>
    <x v="1"/>
    <n v="79"/>
    <x v="0"/>
    <n v="2"/>
    <x v="2"/>
    <n v="1"/>
    <x v="2"/>
    <n v="4558"/>
    <n v="13535"/>
    <n v="1"/>
    <s v="Y"/>
    <x v="1"/>
    <n v="12"/>
    <x v="0"/>
    <n v="4"/>
    <n v="80"/>
    <x v="1"/>
    <n v="10"/>
    <x v="2"/>
    <x v="1"/>
    <n v="10"/>
    <n v="0"/>
    <x v="1"/>
    <n v="8"/>
  </r>
  <r>
    <n v="25"/>
    <x v="0"/>
    <x v="0"/>
    <n v="688"/>
    <x v="1"/>
    <x v="3"/>
    <x v="3"/>
    <s v="Medical"/>
    <n v="1"/>
    <n v="538"/>
    <n v="1"/>
    <x v="1"/>
    <n v="91"/>
    <x v="0"/>
    <n v="1"/>
    <x v="2"/>
    <n v="1"/>
    <x v="1"/>
    <n v="4031"/>
    <n v="9396"/>
    <n v="5"/>
    <s v="Y"/>
    <x v="1"/>
    <n v="13"/>
    <x v="0"/>
    <n v="3"/>
    <n v="80"/>
    <x v="1"/>
    <n v="6"/>
    <x v="3"/>
    <x v="1"/>
    <n v="2"/>
    <n v="2"/>
    <x v="0"/>
    <n v="2"/>
  </r>
  <r>
    <n v="52"/>
    <x v="1"/>
    <x v="0"/>
    <n v="319"/>
    <x v="1"/>
    <x v="3"/>
    <x v="3"/>
    <s v="Medical"/>
    <n v="1"/>
    <n v="543"/>
    <n v="4"/>
    <x v="1"/>
    <n v="39"/>
    <x v="1"/>
    <n v="3"/>
    <x v="3"/>
    <n v="3"/>
    <x v="1"/>
    <n v="7969"/>
    <n v="19609"/>
    <n v="2"/>
    <s v="Y"/>
    <x v="0"/>
    <n v="14"/>
    <x v="0"/>
    <n v="3"/>
    <n v="80"/>
    <x v="0"/>
    <n v="28"/>
    <x v="5"/>
    <x v="1"/>
    <n v="5"/>
    <n v="4"/>
    <x v="0"/>
    <n v="4"/>
  </r>
  <r>
    <n v="45"/>
    <x v="1"/>
    <x v="0"/>
    <n v="192"/>
    <x v="1"/>
    <x v="17"/>
    <x v="0"/>
    <s v="Life Sciences"/>
    <n v="1"/>
    <n v="544"/>
    <n v="1"/>
    <x v="1"/>
    <n v="69"/>
    <x v="0"/>
    <n v="1"/>
    <x v="1"/>
    <n v="4"/>
    <x v="1"/>
    <n v="2654"/>
    <n v="9655"/>
    <n v="3"/>
    <s v="Y"/>
    <x v="1"/>
    <n v="21"/>
    <x v="1"/>
    <n v="4"/>
    <n v="80"/>
    <x v="3"/>
    <n v="8"/>
    <x v="1"/>
    <x v="2"/>
    <n v="2"/>
    <n v="2"/>
    <x v="0"/>
    <n v="2"/>
  </r>
  <r>
    <n v="52"/>
    <x v="1"/>
    <x v="0"/>
    <n v="1490"/>
    <x v="1"/>
    <x v="18"/>
    <x v="0"/>
    <s v="Life Sciences"/>
    <n v="1"/>
    <n v="546"/>
    <n v="4"/>
    <x v="0"/>
    <n v="30"/>
    <x v="0"/>
    <n v="4"/>
    <x v="5"/>
    <n v="4"/>
    <x v="1"/>
    <n v="16555"/>
    <n v="10310"/>
    <n v="2"/>
    <s v="Y"/>
    <x v="1"/>
    <n v="13"/>
    <x v="0"/>
    <n v="4"/>
    <n v="80"/>
    <x v="0"/>
    <n v="31"/>
    <x v="2"/>
    <x v="0"/>
    <n v="5"/>
    <n v="2"/>
    <x v="1"/>
    <n v="4"/>
  </r>
  <r>
    <n v="42"/>
    <x v="1"/>
    <x v="1"/>
    <n v="532"/>
    <x v="1"/>
    <x v="22"/>
    <x v="0"/>
    <s v="Life Sciences"/>
    <n v="1"/>
    <n v="547"/>
    <n v="1"/>
    <x v="0"/>
    <n v="92"/>
    <x v="0"/>
    <n v="2"/>
    <x v="1"/>
    <n v="3"/>
    <x v="2"/>
    <n v="4556"/>
    <n v="12932"/>
    <n v="2"/>
    <s v="Y"/>
    <x v="1"/>
    <n v="11"/>
    <x v="0"/>
    <n v="2"/>
    <n v="80"/>
    <x v="1"/>
    <n v="19"/>
    <x v="1"/>
    <x v="1"/>
    <n v="5"/>
    <n v="4"/>
    <x v="0"/>
    <n v="2"/>
  </r>
  <r>
    <n v="30"/>
    <x v="1"/>
    <x v="0"/>
    <n v="317"/>
    <x v="1"/>
    <x v="2"/>
    <x v="3"/>
    <s v="Life Sciences"/>
    <n v="1"/>
    <n v="548"/>
    <n v="3"/>
    <x v="0"/>
    <n v="43"/>
    <x v="3"/>
    <n v="2"/>
    <x v="3"/>
    <n v="4"/>
    <x v="0"/>
    <n v="6091"/>
    <n v="24793"/>
    <n v="2"/>
    <s v="Y"/>
    <x v="1"/>
    <n v="20"/>
    <x v="1"/>
    <n v="3"/>
    <n v="80"/>
    <x v="0"/>
    <n v="11"/>
    <x v="2"/>
    <x v="1"/>
    <n v="5"/>
    <n v="4"/>
    <x v="0"/>
    <n v="2"/>
  </r>
  <r>
    <n v="60"/>
    <x v="1"/>
    <x v="0"/>
    <n v="422"/>
    <x v="1"/>
    <x v="15"/>
    <x v="3"/>
    <s v="Life Sciences"/>
    <n v="1"/>
    <n v="549"/>
    <n v="1"/>
    <x v="0"/>
    <n v="41"/>
    <x v="0"/>
    <n v="5"/>
    <x v="5"/>
    <n v="1"/>
    <x v="1"/>
    <n v="19566"/>
    <n v="3854"/>
    <n v="5"/>
    <s v="Y"/>
    <x v="1"/>
    <n v="11"/>
    <x v="0"/>
    <n v="4"/>
    <n v="80"/>
    <x v="0"/>
    <n v="33"/>
    <x v="3"/>
    <x v="0"/>
    <n v="29"/>
    <n v="8"/>
    <x v="14"/>
    <n v="10"/>
  </r>
  <r>
    <n v="46"/>
    <x v="1"/>
    <x v="0"/>
    <n v="1485"/>
    <x v="1"/>
    <x v="21"/>
    <x v="3"/>
    <s v="Medical"/>
    <n v="1"/>
    <n v="550"/>
    <n v="3"/>
    <x v="0"/>
    <n v="87"/>
    <x v="0"/>
    <n v="2"/>
    <x v="3"/>
    <n v="3"/>
    <x v="2"/>
    <n v="4810"/>
    <n v="26314"/>
    <n v="2"/>
    <s v="Y"/>
    <x v="1"/>
    <n v="14"/>
    <x v="0"/>
    <n v="3"/>
    <n v="80"/>
    <x v="1"/>
    <n v="19"/>
    <x v="3"/>
    <x v="2"/>
    <n v="10"/>
    <n v="7"/>
    <x v="0"/>
    <n v="8"/>
  </r>
  <r>
    <n v="42"/>
    <x v="1"/>
    <x v="1"/>
    <n v="1368"/>
    <x v="1"/>
    <x v="26"/>
    <x v="2"/>
    <s v="Technical Degree"/>
    <n v="1"/>
    <n v="551"/>
    <n v="4"/>
    <x v="0"/>
    <n v="88"/>
    <x v="1"/>
    <n v="2"/>
    <x v="4"/>
    <n v="4"/>
    <x v="1"/>
    <n v="4523"/>
    <n v="4386"/>
    <n v="0"/>
    <s v="Y"/>
    <x v="1"/>
    <n v="11"/>
    <x v="0"/>
    <n v="4"/>
    <n v="80"/>
    <x v="2"/>
    <n v="7"/>
    <x v="5"/>
    <x v="3"/>
    <n v="6"/>
    <n v="5"/>
    <x v="0"/>
    <n v="4"/>
  </r>
  <r>
    <n v="24"/>
    <x v="0"/>
    <x v="0"/>
    <n v="1448"/>
    <x v="0"/>
    <x v="0"/>
    <x v="1"/>
    <s v="Technical Degree"/>
    <n v="1"/>
    <n v="554"/>
    <n v="1"/>
    <x v="0"/>
    <n v="62"/>
    <x v="0"/>
    <n v="1"/>
    <x v="6"/>
    <n v="2"/>
    <x v="0"/>
    <n v="3202"/>
    <n v="21972"/>
    <n v="1"/>
    <s v="Y"/>
    <x v="0"/>
    <n v="16"/>
    <x v="0"/>
    <n v="2"/>
    <n v="80"/>
    <x v="0"/>
    <n v="6"/>
    <x v="5"/>
    <x v="1"/>
    <n v="5"/>
    <n v="3"/>
    <x v="1"/>
    <n v="4"/>
  </r>
  <r>
    <n v="34"/>
    <x v="0"/>
    <x v="1"/>
    <n v="296"/>
    <x v="0"/>
    <x v="16"/>
    <x v="0"/>
    <s v="Marketing"/>
    <n v="1"/>
    <n v="555"/>
    <n v="4"/>
    <x v="0"/>
    <n v="33"/>
    <x v="3"/>
    <n v="1"/>
    <x v="6"/>
    <n v="3"/>
    <x v="2"/>
    <n v="2351"/>
    <n v="12253"/>
    <n v="0"/>
    <s v="Y"/>
    <x v="1"/>
    <n v="16"/>
    <x v="0"/>
    <n v="4"/>
    <n v="80"/>
    <x v="1"/>
    <n v="3"/>
    <x v="1"/>
    <x v="2"/>
    <n v="2"/>
    <n v="2"/>
    <x v="1"/>
    <n v="0"/>
  </r>
  <r>
    <n v="38"/>
    <x v="1"/>
    <x v="1"/>
    <n v="1490"/>
    <x v="1"/>
    <x v="2"/>
    <x v="0"/>
    <s v="Life Sciences"/>
    <n v="1"/>
    <n v="556"/>
    <n v="4"/>
    <x v="1"/>
    <n v="42"/>
    <x v="0"/>
    <n v="1"/>
    <x v="2"/>
    <n v="4"/>
    <x v="1"/>
    <n v="1702"/>
    <n v="12106"/>
    <n v="1"/>
    <s v="Y"/>
    <x v="0"/>
    <n v="23"/>
    <x v="1"/>
    <n v="3"/>
    <n v="80"/>
    <x v="1"/>
    <n v="1"/>
    <x v="1"/>
    <x v="1"/>
    <n v="1"/>
    <n v="0"/>
    <x v="0"/>
    <n v="0"/>
  </r>
  <r>
    <n v="40"/>
    <x v="1"/>
    <x v="0"/>
    <n v="1398"/>
    <x v="0"/>
    <x v="2"/>
    <x v="2"/>
    <s v="Life Sciences"/>
    <n v="1"/>
    <n v="558"/>
    <n v="3"/>
    <x v="0"/>
    <n v="79"/>
    <x v="0"/>
    <n v="5"/>
    <x v="5"/>
    <n v="3"/>
    <x v="1"/>
    <n v="18041"/>
    <n v="13022"/>
    <n v="0"/>
    <s v="Y"/>
    <x v="1"/>
    <n v="14"/>
    <x v="0"/>
    <n v="4"/>
    <n v="80"/>
    <x v="0"/>
    <n v="21"/>
    <x v="2"/>
    <x v="1"/>
    <n v="20"/>
    <n v="15"/>
    <x v="1"/>
    <n v="12"/>
  </r>
  <r>
    <n v="26"/>
    <x v="1"/>
    <x v="0"/>
    <n v="1349"/>
    <x v="1"/>
    <x v="5"/>
    <x v="3"/>
    <s v="Life Sciences"/>
    <n v="1"/>
    <n v="560"/>
    <n v="1"/>
    <x v="0"/>
    <n v="90"/>
    <x v="0"/>
    <n v="1"/>
    <x v="1"/>
    <n v="4"/>
    <x v="2"/>
    <n v="2886"/>
    <n v="3032"/>
    <n v="1"/>
    <s v="Y"/>
    <x v="1"/>
    <n v="22"/>
    <x v="1"/>
    <n v="2"/>
    <n v="80"/>
    <x v="3"/>
    <n v="3"/>
    <x v="1"/>
    <x v="0"/>
    <n v="3"/>
    <n v="2"/>
    <x v="0"/>
    <n v="2"/>
  </r>
  <r>
    <n v="30"/>
    <x v="1"/>
    <x v="2"/>
    <n v="1400"/>
    <x v="1"/>
    <x v="3"/>
    <x v="3"/>
    <s v="Life Sciences"/>
    <n v="1"/>
    <n v="562"/>
    <n v="3"/>
    <x v="1"/>
    <n v="53"/>
    <x v="0"/>
    <n v="1"/>
    <x v="2"/>
    <n v="4"/>
    <x v="1"/>
    <n v="2097"/>
    <n v="16734"/>
    <n v="4"/>
    <s v="Y"/>
    <x v="1"/>
    <n v="15"/>
    <x v="0"/>
    <n v="3"/>
    <n v="80"/>
    <x v="1"/>
    <n v="9"/>
    <x v="1"/>
    <x v="0"/>
    <n v="5"/>
    <n v="3"/>
    <x v="1"/>
    <n v="4"/>
  </r>
  <r>
    <n v="29"/>
    <x v="1"/>
    <x v="0"/>
    <n v="986"/>
    <x v="1"/>
    <x v="3"/>
    <x v="2"/>
    <s v="Medical"/>
    <n v="1"/>
    <n v="564"/>
    <n v="2"/>
    <x v="1"/>
    <n v="93"/>
    <x v="1"/>
    <n v="3"/>
    <x v="7"/>
    <n v="3"/>
    <x v="1"/>
    <n v="11935"/>
    <n v="21526"/>
    <n v="1"/>
    <s v="Y"/>
    <x v="1"/>
    <n v="18"/>
    <x v="0"/>
    <n v="3"/>
    <n v="80"/>
    <x v="0"/>
    <n v="10"/>
    <x v="2"/>
    <x v="1"/>
    <n v="10"/>
    <n v="2"/>
    <x v="0"/>
    <n v="7"/>
  </r>
  <r>
    <n v="29"/>
    <x v="0"/>
    <x v="0"/>
    <n v="408"/>
    <x v="1"/>
    <x v="19"/>
    <x v="4"/>
    <s v="Technical Degree"/>
    <n v="1"/>
    <n v="565"/>
    <n v="3"/>
    <x v="0"/>
    <n v="71"/>
    <x v="1"/>
    <n v="1"/>
    <x v="1"/>
    <n v="2"/>
    <x v="1"/>
    <n v="2546"/>
    <n v="18300"/>
    <n v="5"/>
    <s v="Y"/>
    <x v="1"/>
    <n v="16"/>
    <x v="0"/>
    <n v="2"/>
    <n v="80"/>
    <x v="0"/>
    <n v="6"/>
    <x v="2"/>
    <x v="3"/>
    <n v="2"/>
    <n v="2"/>
    <x v="1"/>
    <n v="1"/>
  </r>
  <r>
    <n v="19"/>
    <x v="0"/>
    <x v="0"/>
    <n v="489"/>
    <x v="2"/>
    <x v="2"/>
    <x v="0"/>
    <s v="Technical Degree"/>
    <n v="1"/>
    <n v="566"/>
    <n v="1"/>
    <x v="1"/>
    <n v="52"/>
    <x v="1"/>
    <n v="1"/>
    <x v="8"/>
    <n v="4"/>
    <x v="0"/>
    <n v="2564"/>
    <n v="18437"/>
    <n v="1"/>
    <s v="Y"/>
    <x v="1"/>
    <n v="12"/>
    <x v="0"/>
    <n v="3"/>
    <n v="80"/>
    <x v="0"/>
    <n v="1"/>
    <x v="1"/>
    <x v="3"/>
    <n v="1"/>
    <n v="0"/>
    <x v="0"/>
    <n v="0"/>
  </r>
  <r>
    <n v="30"/>
    <x v="1"/>
    <x v="2"/>
    <n v="1398"/>
    <x v="0"/>
    <x v="23"/>
    <x v="2"/>
    <s v="Other"/>
    <n v="1"/>
    <n v="567"/>
    <n v="3"/>
    <x v="0"/>
    <n v="69"/>
    <x v="0"/>
    <n v="3"/>
    <x v="0"/>
    <n v="1"/>
    <x v="1"/>
    <n v="8412"/>
    <n v="2890"/>
    <n v="0"/>
    <s v="Y"/>
    <x v="1"/>
    <n v="11"/>
    <x v="0"/>
    <n v="3"/>
    <n v="80"/>
    <x v="0"/>
    <n v="10"/>
    <x v="1"/>
    <x v="1"/>
    <n v="9"/>
    <n v="8"/>
    <x v="4"/>
    <n v="8"/>
  </r>
  <r>
    <n v="57"/>
    <x v="1"/>
    <x v="0"/>
    <n v="210"/>
    <x v="0"/>
    <x v="22"/>
    <x v="3"/>
    <s v="Marketing"/>
    <n v="1"/>
    <n v="568"/>
    <n v="1"/>
    <x v="1"/>
    <n v="56"/>
    <x v="1"/>
    <n v="4"/>
    <x v="5"/>
    <n v="4"/>
    <x v="2"/>
    <n v="14118"/>
    <n v="22102"/>
    <n v="3"/>
    <s v="Y"/>
    <x v="1"/>
    <n v="12"/>
    <x v="0"/>
    <n v="3"/>
    <n v="80"/>
    <x v="1"/>
    <n v="32"/>
    <x v="1"/>
    <x v="2"/>
    <n v="1"/>
    <n v="0"/>
    <x v="0"/>
    <n v="0"/>
  </r>
  <r>
    <n v="50"/>
    <x v="1"/>
    <x v="0"/>
    <n v="1099"/>
    <x v="1"/>
    <x v="22"/>
    <x v="2"/>
    <s v="Life Sciences"/>
    <n v="1"/>
    <n v="569"/>
    <n v="2"/>
    <x v="1"/>
    <n v="88"/>
    <x v="1"/>
    <n v="4"/>
    <x v="5"/>
    <n v="3"/>
    <x v="1"/>
    <n v="17046"/>
    <n v="9314"/>
    <n v="0"/>
    <s v="Y"/>
    <x v="1"/>
    <n v="15"/>
    <x v="0"/>
    <n v="2"/>
    <n v="80"/>
    <x v="1"/>
    <n v="28"/>
    <x v="2"/>
    <x v="1"/>
    <n v="27"/>
    <n v="10"/>
    <x v="9"/>
    <n v="7"/>
  </r>
  <r>
    <n v="30"/>
    <x v="1"/>
    <x v="2"/>
    <n v="1116"/>
    <x v="1"/>
    <x v="2"/>
    <x v="3"/>
    <s v="Medical"/>
    <n v="1"/>
    <n v="571"/>
    <n v="3"/>
    <x v="0"/>
    <n v="49"/>
    <x v="0"/>
    <n v="1"/>
    <x v="2"/>
    <n v="4"/>
    <x v="0"/>
    <n v="2564"/>
    <n v="7181"/>
    <n v="0"/>
    <s v="Y"/>
    <x v="1"/>
    <n v="14"/>
    <x v="0"/>
    <n v="3"/>
    <n v="80"/>
    <x v="0"/>
    <n v="12"/>
    <x v="2"/>
    <x v="2"/>
    <n v="11"/>
    <n v="7"/>
    <x v="7"/>
    <n v="7"/>
  </r>
  <r>
    <n v="60"/>
    <x v="1"/>
    <x v="1"/>
    <n v="1499"/>
    <x v="0"/>
    <x v="26"/>
    <x v="3"/>
    <s v="Marketing"/>
    <n v="1"/>
    <n v="573"/>
    <n v="3"/>
    <x v="0"/>
    <n v="80"/>
    <x v="1"/>
    <n v="3"/>
    <x v="0"/>
    <n v="1"/>
    <x v="1"/>
    <n v="10266"/>
    <n v="2845"/>
    <n v="4"/>
    <s v="Y"/>
    <x v="1"/>
    <n v="19"/>
    <x v="0"/>
    <n v="4"/>
    <n v="80"/>
    <x v="0"/>
    <n v="22"/>
    <x v="3"/>
    <x v="3"/>
    <n v="18"/>
    <n v="13"/>
    <x v="11"/>
    <n v="11"/>
  </r>
  <r>
    <n v="47"/>
    <x v="1"/>
    <x v="0"/>
    <n v="983"/>
    <x v="1"/>
    <x v="2"/>
    <x v="0"/>
    <s v="Medical"/>
    <n v="1"/>
    <n v="574"/>
    <n v="1"/>
    <x v="0"/>
    <n v="65"/>
    <x v="0"/>
    <n v="2"/>
    <x v="3"/>
    <n v="4"/>
    <x v="2"/>
    <n v="5070"/>
    <n v="7389"/>
    <n v="5"/>
    <s v="Y"/>
    <x v="1"/>
    <n v="13"/>
    <x v="0"/>
    <n v="3"/>
    <n v="80"/>
    <x v="2"/>
    <n v="20"/>
    <x v="2"/>
    <x v="1"/>
    <n v="5"/>
    <n v="0"/>
    <x v="0"/>
    <n v="4"/>
  </r>
  <r>
    <n v="46"/>
    <x v="1"/>
    <x v="0"/>
    <n v="1009"/>
    <x v="1"/>
    <x v="2"/>
    <x v="3"/>
    <s v="Life Sciences"/>
    <n v="1"/>
    <n v="575"/>
    <n v="1"/>
    <x v="1"/>
    <n v="51"/>
    <x v="0"/>
    <n v="4"/>
    <x v="7"/>
    <n v="3"/>
    <x v="1"/>
    <n v="17861"/>
    <n v="2288"/>
    <n v="6"/>
    <s v="Y"/>
    <x v="1"/>
    <n v="13"/>
    <x v="0"/>
    <n v="3"/>
    <n v="80"/>
    <x v="0"/>
    <n v="26"/>
    <x v="2"/>
    <x v="0"/>
    <n v="3"/>
    <n v="2"/>
    <x v="0"/>
    <n v="1"/>
  </r>
  <r>
    <n v="35"/>
    <x v="1"/>
    <x v="0"/>
    <n v="144"/>
    <x v="1"/>
    <x v="23"/>
    <x v="3"/>
    <s v="Life Sciences"/>
    <n v="1"/>
    <n v="577"/>
    <n v="4"/>
    <x v="1"/>
    <n v="46"/>
    <x v="3"/>
    <n v="1"/>
    <x v="2"/>
    <n v="3"/>
    <x v="0"/>
    <n v="4230"/>
    <n v="19225"/>
    <n v="0"/>
    <s v="Y"/>
    <x v="1"/>
    <n v="15"/>
    <x v="0"/>
    <n v="3"/>
    <n v="80"/>
    <x v="0"/>
    <n v="6"/>
    <x v="2"/>
    <x v="1"/>
    <n v="5"/>
    <n v="4"/>
    <x v="5"/>
    <n v="3"/>
  </r>
  <r>
    <n v="54"/>
    <x v="1"/>
    <x v="0"/>
    <n v="548"/>
    <x v="1"/>
    <x v="1"/>
    <x v="2"/>
    <s v="Life Sciences"/>
    <n v="1"/>
    <n v="578"/>
    <n v="3"/>
    <x v="0"/>
    <n v="42"/>
    <x v="0"/>
    <n v="2"/>
    <x v="2"/>
    <n v="3"/>
    <x v="0"/>
    <n v="3780"/>
    <n v="23428"/>
    <n v="7"/>
    <s v="Y"/>
    <x v="1"/>
    <n v="11"/>
    <x v="0"/>
    <n v="3"/>
    <n v="80"/>
    <x v="0"/>
    <n v="19"/>
    <x v="1"/>
    <x v="1"/>
    <n v="1"/>
    <n v="0"/>
    <x v="0"/>
    <n v="0"/>
  </r>
  <r>
    <n v="34"/>
    <x v="1"/>
    <x v="0"/>
    <n v="1303"/>
    <x v="1"/>
    <x v="2"/>
    <x v="2"/>
    <s v="Life Sciences"/>
    <n v="1"/>
    <n v="579"/>
    <n v="4"/>
    <x v="1"/>
    <n v="62"/>
    <x v="1"/>
    <n v="1"/>
    <x v="1"/>
    <n v="3"/>
    <x v="2"/>
    <n v="2768"/>
    <n v="8416"/>
    <n v="3"/>
    <s v="Y"/>
    <x v="1"/>
    <n v="12"/>
    <x v="0"/>
    <n v="3"/>
    <n v="80"/>
    <x v="1"/>
    <n v="14"/>
    <x v="1"/>
    <x v="1"/>
    <n v="7"/>
    <n v="3"/>
    <x v="8"/>
    <n v="7"/>
  </r>
  <r>
    <n v="46"/>
    <x v="1"/>
    <x v="0"/>
    <n v="1125"/>
    <x v="0"/>
    <x v="17"/>
    <x v="3"/>
    <s v="Marketing"/>
    <n v="1"/>
    <n v="580"/>
    <n v="3"/>
    <x v="0"/>
    <n v="94"/>
    <x v="1"/>
    <n v="3"/>
    <x v="0"/>
    <n v="4"/>
    <x v="1"/>
    <n v="9071"/>
    <n v="11563"/>
    <n v="2"/>
    <s v="Y"/>
    <x v="0"/>
    <n v="19"/>
    <x v="0"/>
    <n v="3"/>
    <n v="80"/>
    <x v="1"/>
    <n v="15"/>
    <x v="1"/>
    <x v="1"/>
    <n v="3"/>
    <n v="2"/>
    <x v="1"/>
    <n v="2"/>
  </r>
  <r>
    <n v="31"/>
    <x v="1"/>
    <x v="0"/>
    <n v="1274"/>
    <x v="1"/>
    <x v="14"/>
    <x v="1"/>
    <s v="Life Sciences"/>
    <n v="1"/>
    <n v="581"/>
    <n v="3"/>
    <x v="1"/>
    <n v="33"/>
    <x v="0"/>
    <n v="3"/>
    <x v="3"/>
    <n v="2"/>
    <x v="2"/>
    <n v="10648"/>
    <n v="14394"/>
    <n v="1"/>
    <s v="Y"/>
    <x v="1"/>
    <n v="25"/>
    <x v="1"/>
    <n v="4"/>
    <n v="80"/>
    <x v="1"/>
    <n v="13"/>
    <x v="6"/>
    <x v="3"/>
    <n v="13"/>
    <n v="8"/>
    <x v="0"/>
    <n v="8"/>
  </r>
  <r>
    <n v="33"/>
    <x v="0"/>
    <x v="0"/>
    <n v="1277"/>
    <x v="1"/>
    <x v="8"/>
    <x v="1"/>
    <s v="Medical"/>
    <n v="1"/>
    <n v="582"/>
    <n v="2"/>
    <x v="1"/>
    <n v="56"/>
    <x v="0"/>
    <n v="3"/>
    <x v="5"/>
    <n v="3"/>
    <x v="1"/>
    <n v="13610"/>
    <n v="24619"/>
    <n v="7"/>
    <s v="Y"/>
    <x v="0"/>
    <n v="12"/>
    <x v="0"/>
    <n v="4"/>
    <n v="80"/>
    <x v="0"/>
    <n v="15"/>
    <x v="2"/>
    <x v="3"/>
    <n v="7"/>
    <n v="6"/>
    <x v="4"/>
    <n v="7"/>
  </r>
  <r>
    <n v="33"/>
    <x v="0"/>
    <x v="0"/>
    <n v="587"/>
    <x v="1"/>
    <x v="17"/>
    <x v="1"/>
    <s v="Medical"/>
    <n v="1"/>
    <n v="584"/>
    <n v="1"/>
    <x v="1"/>
    <n v="38"/>
    <x v="3"/>
    <n v="1"/>
    <x v="2"/>
    <n v="4"/>
    <x v="2"/>
    <n v="3408"/>
    <n v="6705"/>
    <n v="7"/>
    <s v="Y"/>
    <x v="1"/>
    <n v="13"/>
    <x v="0"/>
    <n v="1"/>
    <n v="80"/>
    <x v="2"/>
    <n v="8"/>
    <x v="2"/>
    <x v="1"/>
    <n v="4"/>
    <n v="3"/>
    <x v="1"/>
    <n v="3"/>
  </r>
  <r>
    <n v="30"/>
    <x v="1"/>
    <x v="0"/>
    <n v="413"/>
    <x v="0"/>
    <x v="15"/>
    <x v="1"/>
    <s v="Marketing"/>
    <n v="1"/>
    <n v="585"/>
    <n v="4"/>
    <x v="1"/>
    <n v="57"/>
    <x v="0"/>
    <n v="1"/>
    <x v="6"/>
    <n v="2"/>
    <x v="0"/>
    <n v="2983"/>
    <n v="18398"/>
    <n v="0"/>
    <s v="Y"/>
    <x v="1"/>
    <n v="14"/>
    <x v="0"/>
    <n v="1"/>
    <n v="80"/>
    <x v="0"/>
    <n v="4"/>
    <x v="1"/>
    <x v="1"/>
    <n v="3"/>
    <n v="2"/>
    <x v="1"/>
    <n v="2"/>
  </r>
  <r>
    <n v="35"/>
    <x v="1"/>
    <x v="0"/>
    <n v="1276"/>
    <x v="1"/>
    <x v="7"/>
    <x v="3"/>
    <s v="Life Sciences"/>
    <n v="1"/>
    <n v="586"/>
    <n v="4"/>
    <x v="1"/>
    <n v="72"/>
    <x v="0"/>
    <n v="3"/>
    <x v="4"/>
    <n v="3"/>
    <x v="1"/>
    <n v="7632"/>
    <n v="14295"/>
    <n v="4"/>
    <s v="Y"/>
    <x v="0"/>
    <n v="12"/>
    <x v="0"/>
    <n v="3"/>
    <n v="80"/>
    <x v="0"/>
    <n v="10"/>
    <x v="2"/>
    <x v="1"/>
    <n v="8"/>
    <n v="7"/>
    <x v="0"/>
    <n v="0"/>
  </r>
  <r>
    <n v="31"/>
    <x v="0"/>
    <x v="1"/>
    <n v="534"/>
    <x v="1"/>
    <x v="25"/>
    <x v="3"/>
    <s v="Life Sciences"/>
    <n v="1"/>
    <n v="587"/>
    <n v="1"/>
    <x v="1"/>
    <n v="66"/>
    <x v="0"/>
    <n v="3"/>
    <x v="4"/>
    <n v="3"/>
    <x v="1"/>
    <n v="9824"/>
    <n v="22908"/>
    <n v="3"/>
    <s v="Y"/>
    <x v="1"/>
    <n v="12"/>
    <x v="0"/>
    <n v="1"/>
    <n v="80"/>
    <x v="0"/>
    <n v="12"/>
    <x v="2"/>
    <x v="1"/>
    <n v="1"/>
    <n v="0"/>
    <x v="0"/>
    <n v="0"/>
  </r>
  <r>
    <n v="34"/>
    <x v="0"/>
    <x v="1"/>
    <n v="988"/>
    <x v="2"/>
    <x v="5"/>
    <x v="3"/>
    <s v="Human Resources"/>
    <n v="1"/>
    <n v="590"/>
    <n v="2"/>
    <x v="0"/>
    <n v="43"/>
    <x v="0"/>
    <n v="3"/>
    <x v="8"/>
    <n v="1"/>
    <x v="2"/>
    <n v="9950"/>
    <n v="11533"/>
    <n v="9"/>
    <s v="Y"/>
    <x v="0"/>
    <n v="15"/>
    <x v="0"/>
    <n v="3"/>
    <n v="80"/>
    <x v="2"/>
    <n v="11"/>
    <x v="2"/>
    <x v="1"/>
    <n v="3"/>
    <n v="2"/>
    <x v="0"/>
    <n v="2"/>
  </r>
  <r>
    <n v="42"/>
    <x v="1"/>
    <x v="1"/>
    <n v="1474"/>
    <x v="1"/>
    <x v="12"/>
    <x v="0"/>
    <s v="Other"/>
    <n v="1"/>
    <n v="591"/>
    <n v="2"/>
    <x v="1"/>
    <n v="97"/>
    <x v="0"/>
    <n v="1"/>
    <x v="2"/>
    <n v="3"/>
    <x v="1"/>
    <n v="2093"/>
    <n v="9260"/>
    <n v="4"/>
    <s v="Y"/>
    <x v="1"/>
    <n v="17"/>
    <x v="0"/>
    <n v="4"/>
    <n v="80"/>
    <x v="1"/>
    <n v="8"/>
    <x v="5"/>
    <x v="1"/>
    <n v="2"/>
    <n v="2"/>
    <x v="3"/>
    <n v="0"/>
  </r>
  <r>
    <n v="36"/>
    <x v="1"/>
    <x v="2"/>
    <n v="635"/>
    <x v="0"/>
    <x v="17"/>
    <x v="2"/>
    <s v="Medical"/>
    <n v="1"/>
    <n v="592"/>
    <n v="2"/>
    <x v="1"/>
    <n v="32"/>
    <x v="0"/>
    <n v="3"/>
    <x v="0"/>
    <n v="4"/>
    <x v="0"/>
    <n v="9980"/>
    <n v="15318"/>
    <n v="1"/>
    <s v="Y"/>
    <x v="1"/>
    <n v="14"/>
    <x v="0"/>
    <n v="4"/>
    <n v="80"/>
    <x v="0"/>
    <n v="10"/>
    <x v="1"/>
    <x v="2"/>
    <n v="10"/>
    <n v="3"/>
    <x v="10"/>
    <n v="7"/>
  </r>
  <r>
    <n v="22"/>
    <x v="0"/>
    <x v="1"/>
    <n v="1368"/>
    <x v="1"/>
    <x v="18"/>
    <x v="1"/>
    <s v="Technical Degree"/>
    <n v="1"/>
    <n v="593"/>
    <n v="3"/>
    <x v="1"/>
    <n v="99"/>
    <x v="1"/>
    <n v="1"/>
    <x v="2"/>
    <n v="3"/>
    <x v="0"/>
    <n v="3894"/>
    <n v="9129"/>
    <n v="5"/>
    <s v="Y"/>
    <x v="1"/>
    <n v="16"/>
    <x v="0"/>
    <n v="3"/>
    <n v="80"/>
    <x v="0"/>
    <n v="4"/>
    <x v="1"/>
    <x v="1"/>
    <n v="2"/>
    <n v="2"/>
    <x v="1"/>
    <n v="2"/>
  </r>
  <r>
    <n v="48"/>
    <x v="1"/>
    <x v="0"/>
    <n v="163"/>
    <x v="0"/>
    <x v="2"/>
    <x v="4"/>
    <s v="Marketing"/>
    <n v="1"/>
    <n v="595"/>
    <n v="2"/>
    <x v="0"/>
    <n v="37"/>
    <x v="0"/>
    <n v="2"/>
    <x v="0"/>
    <n v="4"/>
    <x v="1"/>
    <n v="4051"/>
    <n v="19658"/>
    <n v="2"/>
    <s v="Y"/>
    <x v="1"/>
    <n v="14"/>
    <x v="0"/>
    <n v="1"/>
    <n v="80"/>
    <x v="1"/>
    <n v="14"/>
    <x v="2"/>
    <x v="1"/>
    <n v="9"/>
    <n v="7"/>
    <x v="7"/>
    <n v="7"/>
  </r>
  <r>
    <n v="55"/>
    <x v="1"/>
    <x v="0"/>
    <n v="1117"/>
    <x v="0"/>
    <x v="21"/>
    <x v="4"/>
    <s v="Life Sciences"/>
    <n v="1"/>
    <n v="597"/>
    <n v="1"/>
    <x v="0"/>
    <n v="83"/>
    <x v="0"/>
    <n v="4"/>
    <x v="5"/>
    <n v="2"/>
    <x v="0"/>
    <n v="16835"/>
    <n v="9873"/>
    <n v="3"/>
    <s v="Y"/>
    <x v="1"/>
    <n v="23"/>
    <x v="1"/>
    <n v="4"/>
    <n v="80"/>
    <x v="0"/>
    <n v="37"/>
    <x v="2"/>
    <x v="1"/>
    <n v="10"/>
    <n v="9"/>
    <x v="4"/>
    <n v="7"/>
  </r>
  <r>
    <n v="41"/>
    <x v="1"/>
    <x v="2"/>
    <n v="267"/>
    <x v="0"/>
    <x v="17"/>
    <x v="0"/>
    <s v="Life Sciences"/>
    <n v="1"/>
    <n v="599"/>
    <n v="4"/>
    <x v="1"/>
    <n v="56"/>
    <x v="0"/>
    <n v="2"/>
    <x v="0"/>
    <n v="4"/>
    <x v="0"/>
    <n v="6230"/>
    <n v="13430"/>
    <n v="7"/>
    <s v="Y"/>
    <x v="1"/>
    <n v="14"/>
    <x v="0"/>
    <n v="4"/>
    <n v="80"/>
    <x v="0"/>
    <n v="16"/>
    <x v="1"/>
    <x v="1"/>
    <n v="14"/>
    <n v="3"/>
    <x v="1"/>
    <n v="10"/>
  </r>
  <r>
    <n v="35"/>
    <x v="1"/>
    <x v="0"/>
    <n v="619"/>
    <x v="0"/>
    <x v="0"/>
    <x v="3"/>
    <s v="Marketing"/>
    <n v="1"/>
    <n v="600"/>
    <n v="2"/>
    <x v="1"/>
    <n v="85"/>
    <x v="0"/>
    <n v="2"/>
    <x v="0"/>
    <n v="3"/>
    <x v="1"/>
    <n v="4717"/>
    <n v="18659"/>
    <n v="9"/>
    <s v="Y"/>
    <x v="1"/>
    <n v="11"/>
    <x v="0"/>
    <n v="3"/>
    <n v="80"/>
    <x v="0"/>
    <n v="15"/>
    <x v="2"/>
    <x v="1"/>
    <n v="11"/>
    <n v="9"/>
    <x v="7"/>
    <n v="9"/>
  </r>
  <r>
    <n v="40"/>
    <x v="1"/>
    <x v="0"/>
    <n v="302"/>
    <x v="1"/>
    <x v="16"/>
    <x v="3"/>
    <s v="Life Sciences"/>
    <n v="1"/>
    <n v="601"/>
    <n v="2"/>
    <x v="0"/>
    <n v="75"/>
    <x v="0"/>
    <n v="4"/>
    <x v="3"/>
    <n v="3"/>
    <x v="0"/>
    <n v="13237"/>
    <n v="20364"/>
    <n v="7"/>
    <s v="Y"/>
    <x v="1"/>
    <n v="15"/>
    <x v="0"/>
    <n v="3"/>
    <n v="80"/>
    <x v="0"/>
    <n v="22"/>
    <x v="1"/>
    <x v="1"/>
    <n v="20"/>
    <n v="6"/>
    <x v="8"/>
    <n v="13"/>
  </r>
  <r>
    <n v="39"/>
    <x v="1"/>
    <x v="1"/>
    <n v="443"/>
    <x v="1"/>
    <x v="1"/>
    <x v="1"/>
    <s v="Life Sciences"/>
    <n v="1"/>
    <n v="602"/>
    <n v="3"/>
    <x v="0"/>
    <n v="48"/>
    <x v="0"/>
    <n v="1"/>
    <x v="2"/>
    <n v="3"/>
    <x v="1"/>
    <n v="3755"/>
    <n v="17872"/>
    <n v="1"/>
    <s v="Y"/>
    <x v="1"/>
    <n v="11"/>
    <x v="0"/>
    <n v="1"/>
    <n v="80"/>
    <x v="1"/>
    <n v="8"/>
    <x v="1"/>
    <x v="1"/>
    <n v="8"/>
    <n v="3"/>
    <x v="0"/>
    <n v="7"/>
  </r>
  <r>
    <n v="31"/>
    <x v="1"/>
    <x v="0"/>
    <n v="828"/>
    <x v="0"/>
    <x v="2"/>
    <x v="1"/>
    <s v="Life Sciences"/>
    <n v="1"/>
    <n v="604"/>
    <n v="2"/>
    <x v="1"/>
    <n v="77"/>
    <x v="0"/>
    <n v="2"/>
    <x v="0"/>
    <n v="4"/>
    <x v="0"/>
    <n v="6582"/>
    <n v="8346"/>
    <n v="4"/>
    <s v="Y"/>
    <x v="0"/>
    <n v="13"/>
    <x v="0"/>
    <n v="3"/>
    <n v="80"/>
    <x v="0"/>
    <n v="10"/>
    <x v="2"/>
    <x v="3"/>
    <n v="6"/>
    <n v="5"/>
    <x v="0"/>
    <n v="5"/>
  </r>
  <r>
    <n v="42"/>
    <x v="1"/>
    <x v="0"/>
    <n v="319"/>
    <x v="1"/>
    <x v="4"/>
    <x v="3"/>
    <s v="Medical"/>
    <n v="1"/>
    <n v="605"/>
    <n v="4"/>
    <x v="1"/>
    <n v="56"/>
    <x v="0"/>
    <n v="3"/>
    <x v="3"/>
    <n v="1"/>
    <x v="1"/>
    <n v="7406"/>
    <n v="6950"/>
    <n v="1"/>
    <s v="Y"/>
    <x v="0"/>
    <n v="21"/>
    <x v="1"/>
    <n v="4"/>
    <n v="80"/>
    <x v="1"/>
    <n v="10"/>
    <x v="3"/>
    <x v="2"/>
    <n v="10"/>
    <n v="9"/>
    <x v="8"/>
    <n v="8"/>
  </r>
  <r>
    <n v="45"/>
    <x v="1"/>
    <x v="0"/>
    <n v="561"/>
    <x v="0"/>
    <x v="2"/>
    <x v="3"/>
    <s v="Other"/>
    <n v="1"/>
    <n v="606"/>
    <n v="4"/>
    <x v="1"/>
    <n v="61"/>
    <x v="0"/>
    <n v="2"/>
    <x v="0"/>
    <n v="2"/>
    <x v="1"/>
    <n v="4805"/>
    <n v="16177"/>
    <n v="0"/>
    <s v="Y"/>
    <x v="1"/>
    <n v="19"/>
    <x v="0"/>
    <n v="2"/>
    <n v="80"/>
    <x v="1"/>
    <n v="9"/>
    <x v="1"/>
    <x v="3"/>
    <n v="8"/>
    <n v="7"/>
    <x v="2"/>
    <n v="7"/>
  </r>
  <r>
    <n v="26"/>
    <x v="0"/>
    <x v="1"/>
    <n v="426"/>
    <x v="2"/>
    <x v="27"/>
    <x v="2"/>
    <s v="Life Sciences"/>
    <n v="1"/>
    <n v="608"/>
    <n v="2"/>
    <x v="0"/>
    <n v="58"/>
    <x v="0"/>
    <n v="1"/>
    <x v="8"/>
    <n v="3"/>
    <x v="2"/>
    <n v="2741"/>
    <n v="22808"/>
    <n v="0"/>
    <s v="Y"/>
    <x v="0"/>
    <n v="11"/>
    <x v="0"/>
    <n v="2"/>
    <n v="80"/>
    <x v="1"/>
    <n v="8"/>
    <x v="2"/>
    <x v="2"/>
    <n v="7"/>
    <n v="7"/>
    <x v="1"/>
    <n v="0"/>
  </r>
  <r>
    <n v="29"/>
    <x v="1"/>
    <x v="0"/>
    <n v="232"/>
    <x v="1"/>
    <x v="10"/>
    <x v="3"/>
    <s v="Technical Degree"/>
    <n v="1"/>
    <n v="611"/>
    <n v="4"/>
    <x v="1"/>
    <n v="34"/>
    <x v="0"/>
    <n v="2"/>
    <x v="3"/>
    <n v="4"/>
    <x v="2"/>
    <n v="4262"/>
    <n v="22645"/>
    <n v="4"/>
    <s v="Y"/>
    <x v="1"/>
    <n v="12"/>
    <x v="0"/>
    <n v="2"/>
    <n v="80"/>
    <x v="3"/>
    <n v="8"/>
    <x v="2"/>
    <x v="3"/>
    <n v="3"/>
    <n v="2"/>
    <x v="1"/>
    <n v="2"/>
  </r>
  <r>
    <n v="33"/>
    <x v="1"/>
    <x v="0"/>
    <n v="922"/>
    <x v="1"/>
    <x v="0"/>
    <x v="4"/>
    <s v="Medical"/>
    <n v="1"/>
    <n v="612"/>
    <n v="1"/>
    <x v="0"/>
    <n v="95"/>
    <x v="2"/>
    <n v="4"/>
    <x v="7"/>
    <n v="3"/>
    <x v="2"/>
    <n v="16184"/>
    <n v="22578"/>
    <n v="4"/>
    <s v="Y"/>
    <x v="1"/>
    <n v="19"/>
    <x v="0"/>
    <n v="3"/>
    <n v="80"/>
    <x v="1"/>
    <n v="10"/>
    <x v="2"/>
    <x v="1"/>
    <n v="6"/>
    <n v="1"/>
    <x v="0"/>
    <n v="5"/>
  </r>
  <r>
    <n v="31"/>
    <x v="1"/>
    <x v="0"/>
    <n v="688"/>
    <x v="0"/>
    <x v="15"/>
    <x v="3"/>
    <s v="Life Sciences"/>
    <n v="1"/>
    <n v="613"/>
    <n v="3"/>
    <x v="1"/>
    <n v="44"/>
    <x v="1"/>
    <n v="3"/>
    <x v="5"/>
    <n v="4"/>
    <x v="2"/>
    <n v="11557"/>
    <n v="25291"/>
    <n v="9"/>
    <s v="Y"/>
    <x v="1"/>
    <n v="21"/>
    <x v="1"/>
    <n v="3"/>
    <n v="80"/>
    <x v="1"/>
    <n v="10"/>
    <x v="1"/>
    <x v="2"/>
    <n v="5"/>
    <n v="4"/>
    <x v="0"/>
    <n v="1"/>
  </r>
  <r>
    <n v="18"/>
    <x v="0"/>
    <x v="1"/>
    <n v="1306"/>
    <x v="0"/>
    <x v="12"/>
    <x v="3"/>
    <s v="Marketing"/>
    <n v="1"/>
    <n v="614"/>
    <n v="2"/>
    <x v="1"/>
    <n v="69"/>
    <x v="0"/>
    <n v="1"/>
    <x v="6"/>
    <n v="2"/>
    <x v="0"/>
    <n v="1878"/>
    <n v="8059"/>
    <n v="1"/>
    <s v="Y"/>
    <x v="0"/>
    <n v="14"/>
    <x v="0"/>
    <n v="4"/>
    <n v="80"/>
    <x v="0"/>
    <n v="0"/>
    <x v="1"/>
    <x v="1"/>
    <n v="0"/>
    <n v="0"/>
    <x v="0"/>
    <n v="0"/>
  </r>
  <r>
    <n v="40"/>
    <x v="1"/>
    <x v="2"/>
    <n v="1094"/>
    <x v="0"/>
    <x v="26"/>
    <x v="3"/>
    <s v="Other"/>
    <n v="1"/>
    <n v="615"/>
    <n v="3"/>
    <x v="1"/>
    <n v="58"/>
    <x v="3"/>
    <n v="3"/>
    <x v="0"/>
    <n v="1"/>
    <x v="2"/>
    <n v="10932"/>
    <n v="11373"/>
    <n v="3"/>
    <s v="Y"/>
    <x v="1"/>
    <n v="15"/>
    <x v="0"/>
    <n v="3"/>
    <n v="80"/>
    <x v="1"/>
    <n v="20"/>
    <x v="2"/>
    <x v="1"/>
    <n v="1"/>
    <n v="0"/>
    <x v="0"/>
    <n v="1"/>
  </r>
  <r>
    <n v="41"/>
    <x v="1"/>
    <x v="2"/>
    <n v="509"/>
    <x v="1"/>
    <x v="2"/>
    <x v="2"/>
    <s v="Other"/>
    <n v="1"/>
    <n v="616"/>
    <n v="1"/>
    <x v="0"/>
    <n v="62"/>
    <x v="1"/>
    <n v="2"/>
    <x v="4"/>
    <n v="3"/>
    <x v="0"/>
    <n v="6811"/>
    <n v="2112"/>
    <n v="2"/>
    <s v="Y"/>
    <x v="0"/>
    <n v="17"/>
    <x v="0"/>
    <n v="1"/>
    <n v="80"/>
    <x v="0"/>
    <n v="10"/>
    <x v="1"/>
    <x v="1"/>
    <n v="8"/>
    <n v="7"/>
    <x v="0"/>
    <n v="7"/>
  </r>
  <r>
    <n v="26"/>
    <x v="1"/>
    <x v="0"/>
    <n v="775"/>
    <x v="0"/>
    <x v="22"/>
    <x v="0"/>
    <s v="Medical"/>
    <n v="1"/>
    <n v="618"/>
    <n v="1"/>
    <x v="1"/>
    <n v="45"/>
    <x v="0"/>
    <n v="2"/>
    <x v="0"/>
    <n v="3"/>
    <x v="2"/>
    <n v="4306"/>
    <n v="4267"/>
    <n v="5"/>
    <s v="Y"/>
    <x v="1"/>
    <n v="12"/>
    <x v="0"/>
    <n v="1"/>
    <n v="80"/>
    <x v="3"/>
    <n v="8"/>
    <x v="3"/>
    <x v="1"/>
    <n v="0"/>
    <n v="0"/>
    <x v="0"/>
    <n v="0"/>
  </r>
  <r>
    <n v="35"/>
    <x v="1"/>
    <x v="0"/>
    <n v="195"/>
    <x v="0"/>
    <x v="0"/>
    <x v="3"/>
    <s v="Medical"/>
    <n v="1"/>
    <n v="620"/>
    <n v="1"/>
    <x v="0"/>
    <n v="80"/>
    <x v="0"/>
    <n v="2"/>
    <x v="0"/>
    <n v="3"/>
    <x v="0"/>
    <n v="4859"/>
    <n v="6698"/>
    <n v="1"/>
    <s v="Y"/>
    <x v="1"/>
    <n v="16"/>
    <x v="0"/>
    <n v="4"/>
    <n v="80"/>
    <x v="0"/>
    <n v="5"/>
    <x v="1"/>
    <x v="1"/>
    <n v="5"/>
    <n v="4"/>
    <x v="0"/>
    <n v="3"/>
  </r>
  <r>
    <n v="34"/>
    <x v="1"/>
    <x v="0"/>
    <n v="258"/>
    <x v="0"/>
    <x v="11"/>
    <x v="2"/>
    <s v="Life Sciences"/>
    <n v="1"/>
    <n v="621"/>
    <n v="4"/>
    <x v="1"/>
    <n v="74"/>
    <x v="2"/>
    <n v="2"/>
    <x v="0"/>
    <n v="4"/>
    <x v="0"/>
    <n v="5337"/>
    <n v="19921"/>
    <n v="1"/>
    <s v="Y"/>
    <x v="1"/>
    <n v="12"/>
    <x v="0"/>
    <n v="4"/>
    <n v="80"/>
    <x v="0"/>
    <n v="10"/>
    <x v="1"/>
    <x v="1"/>
    <n v="10"/>
    <n v="7"/>
    <x v="8"/>
    <n v="7"/>
  </r>
  <r>
    <n v="26"/>
    <x v="0"/>
    <x v="0"/>
    <n v="471"/>
    <x v="1"/>
    <x v="4"/>
    <x v="3"/>
    <s v="Technical Degree"/>
    <n v="1"/>
    <n v="622"/>
    <n v="3"/>
    <x v="1"/>
    <n v="66"/>
    <x v="3"/>
    <n v="1"/>
    <x v="2"/>
    <n v="4"/>
    <x v="0"/>
    <n v="2340"/>
    <n v="23213"/>
    <n v="1"/>
    <s v="Y"/>
    <x v="0"/>
    <n v="18"/>
    <x v="0"/>
    <n v="2"/>
    <n v="80"/>
    <x v="0"/>
    <n v="1"/>
    <x v="1"/>
    <x v="0"/>
    <n v="1"/>
    <n v="0"/>
    <x v="0"/>
    <n v="0"/>
  </r>
  <r>
    <n v="37"/>
    <x v="1"/>
    <x v="0"/>
    <n v="799"/>
    <x v="1"/>
    <x v="0"/>
    <x v="3"/>
    <s v="Technical Degree"/>
    <n v="1"/>
    <n v="623"/>
    <n v="2"/>
    <x v="0"/>
    <n v="59"/>
    <x v="0"/>
    <n v="3"/>
    <x v="3"/>
    <n v="4"/>
    <x v="0"/>
    <n v="7491"/>
    <n v="23848"/>
    <n v="4"/>
    <s v="Y"/>
    <x v="1"/>
    <n v="17"/>
    <x v="0"/>
    <n v="4"/>
    <n v="80"/>
    <x v="0"/>
    <n v="12"/>
    <x v="1"/>
    <x v="3"/>
    <n v="6"/>
    <n v="5"/>
    <x v="1"/>
    <n v="2"/>
  </r>
  <r>
    <n v="46"/>
    <x v="1"/>
    <x v="1"/>
    <n v="1034"/>
    <x v="1"/>
    <x v="21"/>
    <x v="1"/>
    <s v="Medical"/>
    <n v="1"/>
    <n v="624"/>
    <n v="1"/>
    <x v="0"/>
    <n v="86"/>
    <x v="0"/>
    <n v="3"/>
    <x v="4"/>
    <n v="3"/>
    <x v="1"/>
    <n v="10527"/>
    <n v="8984"/>
    <n v="5"/>
    <s v="Y"/>
    <x v="1"/>
    <n v="11"/>
    <x v="0"/>
    <n v="4"/>
    <n v="80"/>
    <x v="0"/>
    <n v="28"/>
    <x v="1"/>
    <x v="2"/>
    <n v="2"/>
    <n v="2"/>
    <x v="1"/>
    <n v="2"/>
  </r>
  <r>
    <n v="41"/>
    <x v="1"/>
    <x v="0"/>
    <n v="1276"/>
    <x v="0"/>
    <x v="2"/>
    <x v="4"/>
    <s v="Life Sciences"/>
    <n v="1"/>
    <n v="625"/>
    <n v="2"/>
    <x v="0"/>
    <n v="91"/>
    <x v="0"/>
    <n v="4"/>
    <x v="5"/>
    <n v="1"/>
    <x v="1"/>
    <n v="16595"/>
    <n v="5626"/>
    <n v="7"/>
    <s v="Y"/>
    <x v="1"/>
    <n v="16"/>
    <x v="0"/>
    <n v="2"/>
    <n v="80"/>
    <x v="1"/>
    <n v="22"/>
    <x v="2"/>
    <x v="1"/>
    <n v="18"/>
    <n v="16"/>
    <x v="14"/>
    <n v="8"/>
  </r>
  <r>
    <n v="37"/>
    <x v="1"/>
    <x v="2"/>
    <n v="142"/>
    <x v="0"/>
    <x v="14"/>
    <x v="2"/>
    <s v="Medical"/>
    <n v="1"/>
    <n v="626"/>
    <n v="1"/>
    <x v="1"/>
    <n v="69"/>
    <x v="0"/>
    <n v="3"/>
    <x v="0"/>
    <n v="2"/>
    <x v="2"/>
    <n v="8834"/>
    <n v="24666"/>
    <n v="1"/>
    <s v="Y"/>
    <x v="1"/>
    <n v="13"/>
    <x v="0"/>
    <n v="4"/>
    <n v="80"/>
    <x v="1"/>
    <n v="9"/>
    <x v="6"/>
    <x v="1"/>
    <n v="9"/>
    <n v="5"/>
    <x v="4"/>
    <n v="7"/>
  </r>
  <r>
    <n v="52"/>
    <x v="1"/>
    <x v="0"/>
    <n v="956"/>
    <x v="1"/>
    <x v="16"/>
    <x v="0"/>
    <s v="Technical Degree"/>
    <n v="1"/>
    <n v="630"/>
    <n v="4"/>
    <x v="1"/>
    <n v="78"/>
    <x v="0"/>
    <n v="2"/>
    <x v="1"/>
    <n v="1"/>
    <x v="2"/>
    <n v="5577"/>
    <n v="22087"/>
    <n v="3"/>
    <s v="Y"/>
    <x v="0"/>
    <n v="12"/>
    <x v="0"/>
    <n v="2"/>
    <n v="80"/>
    <x v="3"/>
    <n v="18"/>
    <x v="1"/>
    <x v="1"/>
    <n v="10"/>
    <n v="9"/>
    <x v="7"/>
    <n v="9"/>
  </r>
  <r>
    <n v="32"/>
    <x v="0"/>
    <x v="2"/>
    <n v="1474"/>
    <x v="0"/>
    <x v="13"/>
    <x v="2"/>
    <s v="Other"/>
    <n v="1"/>
    <n v="631"/>
    <n v="4"/>
    <x v="1"/>
    <n v="60"/>
    <x v="2"/>
    <n v="2"/>
    <x v="0"/>
    <n v="3"/>
    <x v="1"/>
    <n v="4707"/>
    <n v="23914"/>
    <n v="8"/>
    <s v="Y"/>
    <x v="1"/>
    <n v="12"/>
    <x v="0"/>
    <n v="4"/>
    <n v="80"/>
    <x v="0"/>
    <n v="6"/>
    <x v="2"/>
    <x v="1"/>
    <n v="4"/>
    <n v="2"/>
    <x v="1"/>
    <n v="2"/>
  </r>
  <r>
    <n v="24"/>
    <x v="1"/>
    <x v="1"/>
    <n v="535"/>
    <x v="0"/>
    <x v="4"/>
    <x v="3"/>
    <s v="Medical"/>
    <n v="1"/>
    <n v="632"/>
    <n v="4"/>
    <x v="1"/>
    <n v="38"/>
    <x v="0"/>
    <n v="1"/>
    <x v="6"/>
    <n v="4"/>
    <x v="1"/>
    <n v="2400"/>
    <n v="5530"/>
    <n v="0"/>
    <s v="Y"/>
    <x v="1"/>
    <n v="13"/>
    <x v="0"/>
    <n v="3"/>
    <n v="80"/>
    <x v="3"/>
    <n v="3"/>
    <x v="1"/>
    <x v="1"/>
    <n v="2"/>
    <n v="2"/>
    <x v="3"/>
    <n v="1"/>
  </r>
  <r>
    <n v="38"/>
    <x v="1"/>
    <x v="0"/>
    <n v="1495"/>
    <x v="1"/>
    <x v="17"/>
    <x v="3"/>
    <s v="Medical"/>
    <n v="1"/>
    <n v="634"/>
    <n v="3"/>
    <x v="0"/>
    <n v="76"/>
    <x v="0"/>
    <n v="2"/>
    <x v="4"/>
    <n v="3"/>
    <x v="1"/>
    <n v="9824"/>
    <n v="22174"/>
    <n v="3"/>
    <s v="Y"/>
    <x v="1"/>
    <n v="19"/>
    <x v="0"/>
    <n v="3"/>
    <n v="80"/>
    <x v="1"/>
    <n v="18"/>
    <x v="5"/>
    <x v="1"/>
    <n v="1"/>
    <n v="0"/>
    <x v="0"/>
    <n v="0"/>
  </r>
  <r>
    <n v="37"/>
    <x v="1"/>
    <x v="0"/>
    <n v="446"/>
    <x v="1"/>
    <x v="0"/>
    <x v="2"/>
    <s v="Life Sciences"/>
    <n v="1"/>
    <n v="635"/>
    <n v="2"/>
    <x v="0"/>
    <n v="65"/>
    <x v="0"/>
    <n v="2"/>
    <x v="3"/>
    <n v="2"/>
    <x v="1"/>
    <n v="6447"/>
    <n v="15701"/>
    <n v="6"/>
    <s v="Y"/>
    <x v="1"/>
    <n v="12"/>
    <x v="0"/>
    <n v="2"/>
    <n v="80"/>
    <x v="1"/>
    <n v="8"/>
    <x v="2"/>
    <x v="2"/>
    <n v="6"/>
    <n v="5"/>
    <x v="5"/>
    <n v="3"/>
  </r>
  <r>
    <n v="49"/>
    <x v="1"/>
    <x v="0"/>
    <n v="1245"/>
    <x v="1"/>
    <x v="21"/>
    <x v="2"/>
    <s v="Life Sciences"/>
    <n v="1"/>
    <n v="638"/>
    <n v="4"/>
    <x v="1"/>
    <n v="58"/>
    <x v="1"/>
    <n v="5"/>
    <x v="7"/>
    <n v="3"/>
    <x v="2"/>
    <n v="19502"/>
    <n v="2125"/>
    <n v="1"/>
    <s v="Y"/>
    <x v="0"/>
    <n v="17"/>
    <x v="0"/>
    <n v="3"/>
    <n v="80"/>
    <x v="1"/>
    <n v="31"/>
    <x v="3"/>
    <x v="1"/>
    <n v="31"/>
    <n v="9"/>
    <x v="0"/>
    <n v="9"/>
  </r>
  <r>
    <n v="24"/>
    <x v="1"/>
    <x v="0"/>
    <n v="691"/>
    <x v="1"/>
    <x v="5"/>
    <x v="3"/>
    <s v="Medical"/>
    <n v="1"/>
    <n v="639"/>
    <n v="2"/>
    <x v="1"/>
    <n v="89"/>
    <x v="2"/>
    <n v="1"/>
    <x v="1"/>
    <n v="4"/>
    <x v="1"/>
    <n v="2725"/>
    <n v="21630"/>
    <n v="1"/>
    <s v="Y"/>
    <x v="0"/>
    <n v="11"/>
    <x v="0"/>
    <n v="2"/>
    <n v="80"/>
    <x v="3"/>
    <n v="6"/>
    <x v="1"/>
    <x v="1"/>
    <n v="6"/>
    <n v="5"/>
    <x v="1"/>
    <n v="4"/>
  </r>
  <r>
    <n v="26"/>
    <x v="1"/>
    <x v="0"/>
    <n v="703"/>
    <x v="0"/>
    <x v="26"/>
    <x v="0"/>
    <s v="Marketing"/>
    <n v="1"/>
    <n v="641"/>
    <n v="1"/>
    <x v="1"/>
    <n v="66"/>
    <x v="0"/>
    <n v="2"/>
    <x v="0"/>
    <n v="2"/>
    <x v="1"/>
    <n v="6272"/>
    <n v="7428"/>
    <n v="1"/>
    <s v="Y"/>
    <x v="1"/>
    <n v="20"/>
    <x v="1"/>
    <n v="4"/>
    <n v="80"/>
    <x v="3"/>
    <n v="6"/>
    <x v="3"/>
    <x v="3"/>
    <n v="5"/>
    <n v="3"/>
    <x v="1"/>
    <n v="4"/>
  </r>
  <r>
    <n v="24"/>
    <x v="1"/>
    <x v="0"/>
    <n v="823"/>
    <x v="1"/>
    <x v="27"/>
    <x v="0"/>
    <s v="Other"/>
    <n v="1"/>
    <n v="643"/>
    <n v="4"/>
    <x v="1"/>
    <n v="94"/>
    <x v="1"/>
    <n v="1"/>
    <x v="2"/>
    <n v="2"/>
    <x v="1"/>
    <n v="2127"/>
    <n v="9100"/>
    <n v="1"/>
    <s v="Y"/>
    <x v="1"/>
    <n v="21"/>
    <x v="1"/>
    <n v="4"/>
    <n v="80"/>
    <x v="1"/>
    <n v="1"/>
    <x v="2"/>
    <x v="1"/>
    <n v="1"/>
    <n v="0"/>
    <x v="0"/>
    <n v="0"/>
  </r>
  <r>
    <n v="50"/>
    <x v="1"/>
    <x v="1"/>
    <n v="1246"/>
    <x v="2"/>
    <x v="3"/>
    <x v="3"/>
    <s v="Medical"/>
    <n v="1"/>
    <n v="644"/>
    <n v="1"/>
    <x v="1"/>
    <n v="99"/>
    <x v="0"/>
    <n v="5"/>
    <x v="5"/>
    <n v="2"/>
    <x v="1"/>
    <n v="18200"/>
    <n v="7999"/>
    <n v="1"/>
    <s v="Y"/>
    <x v="1"/>
    <n v="11"/>
    <x v="0"/>
    <n v="3"/>
    <n v="80"/>
    <x v="1"/>
    <n v="32"/>
    <x v="2"/>
    <x v="1"/>
    <n v="32"/>
    <n v="5"/>
    <x v="13"/>
    <n v="7"/>
  </r>
  <r>
    <n v="25"/>
    <x v="1"/>
    <x v="0"/>
    <n v="622"/>
    <x v="0"/>
    <x v="28"/>
    <x v="1"/>
    <s v="Medical"/>
    <n v="1"/>
    <n v="645"/>
    <n v="2"/>
    <x v="1"/>
    <n v="40"/>
    <x v="0"/>
    <n v="1"/>
    <x v="6"/>
    <n v="3"/>
    <x v="1"/>
    <n v="2096"/>
    <n v="26376"/>
    <n v="1"/>
    <s v="Y"/>
    <x v="1"/>
    <n v="11"/>
    <x v="0"/>
    <n v="3"/>
    <n v="80"/>
    <x v="0"/>
    <n v="7"/>
    <x v="4"/>
    <x v="1"/>
    <n v="7"/>
    <n v="4"/>
    <x v="0"/>
    <n v="6"/>
  </r>
  <r>
    <n v="24"/>
    <x v="0"/>
    <x v="1"/>
    <n v="1287"/>
    <x v="1"/>
    <x v="15"/>
    <x v="3"/>
    <s v="Life Sciences"/>
    <n v="1"/>
    <n v="647"/>
    <n v="1"/>
    <x v="0"/>
    <n v="55"/>
    <x v="0"/>
    <n v="1"/>
    <x v="2"/>
    <n v="3"/>
    <x v="1"/>
    <n v="2886"/>
    <n v="14168"/>
    <n v="1"/>
    <s v="Y"/>
    <x v="0"/>
    <n v="16"/>
    <x v="0"/>
    <n v="4"/>
    <n v="80"/>
    <x v="1"/>
    <n v="6"/>
    <x v="5"/>
    <x v="1"/>
    <n v="6"/>
    <n v="3"/>
    <x v="1"/>
    <n v="2"/>
  </r>
  <r>
    <n v="30"/>
    <x v="0"/>
    <x v="1"/>
    <n v="448"/>
    <x v="0"/>
    <x v="20"/>
    <x v="2"/>
    <s v="Life Sciences"/>
    <n v="1"/>
    <n v="648"/>
    <n v="2"/>
    <x v="1"/>
    <n v="74"/>
    <x v="1"/>
    <n v="1"/>
    <x v="6"/>
    <n v="1"/>
    <x v="1"/>
    <n v="2033"/>
    <n v="14470"/>
    <n v="1"/>
    <s v="Y"/>
    <x v="1"/>
    <n v="18"/>
    <x v="0"/>
    <n v="3"/>
    <n v="80"/>
    <x v="1"/>
    <n v="1"/>
    <x v="2"/>
    <x v="3"/>
    <n v="1"/>
    <n v="0"/>
    <x v="0"/>
    <n v="0"/>
  </r>
  <r>
    <n v="34"/>
    <x v="1"/>
    <x v="0"/>
    <n v="254"/>
    <x v="1"/>
    <x v="0"/>
    <x v="0"/>
    <s v="Life Sciences"/>
    <n v="1"/>
    <n v="649"/>
    <n v="2"/>
    <x v="1"/>
    <n v="83"/>
    <x v="1"/>
    <n v="1"/>
    <x v="1"/>
    <n v="4"/>
    <x v="1"/>
    <n v="3622"/>
    <n v="22794"/>
    <n v="1"/>
    <s v="Y"/>
    <x v="0"/>
    <n v="13"/>
    <x v="0"/>
    <n v="4"/>
    <n v="80"/>
    <x v="1"/>
    <n v="6"/>
    <x v="1"/>
    <x v="1"/>
    <n v="6"/>
    <n v="5"/>
    <x v="1"/>
    <n v="3"/>
  </r>
  <r>
    <n v="31"/>
    <x v="0"/>
    <x v="0"/>
    <n v="1365"/>
    <x v="0"/>
    <x v="28"/>
    <x v="2"/>
    <s v="Medical"/>
    <n v="1"/>
    <n v="650"/>
    <n v="2"/>
    <x v="1"/>
    <n v="46"/>
    <x v="0"/>
    <n v="2"/>
    <x v="0"/>
    <n v="1"/>
    <x v="2"/>
    <n v="4233"/>
    <n v="11512"/>
    <n v="2"/>
    <s v="Y"/>
    <x v="1"/>
    <n v="17"/>
    <x v="0"/>
    <n v="3"/>
    <n v="80"/>
    <x v="0"/>
    <n v="9"/>
    <x v="2"/>
    <x v="0"/>
    <n v="3"/>
    <n v="1"/>
    <x v="1"/>
    <n v="2"/>
  </r>
  <r>
    <n v="35"/>
    <x v="1"/>
    <x v="0"/>
    <n v="538"/>
    <x v="1"/>
    <x v="19"/>
    <x v="0"/>
    <s v="Other"/>
    <n v="1"/>
    <n v="652"/>
    <n v="1"/>
    <x v="1"/>
    <n v="54"/>
    <x v="1"/>
    <n v="2"/>
    <x v="2"/>
    <n v="4"/>
    <x v="0"/>
    <n v="3681"/>
    <n v="14004"/>
    <n v="4"/>
    <s v="Y"/>
    <x v="1"/>
    <n v="14"/>
    <x v="0"/>
    <n v="4"/>
    <n v="80"/>
    <x v="0"/>
    <n v="9"/>
    <x v="1"/>
    <x v="1"/>
    <n v="3"/>
    <n v="2"/>
    <x v="0"/>
    <n v="2"/>
  </r>
  <r>
    <n v="31"/>
    <x v="1"/>
    <x v="0"/>
    <n v="525"/>
    <x v="0"/>
    <x v="16"/>
    <x v="2"/>
    <s v="Medical"/>
    <n v="1"/>
    <n v="653"/>
    <n v="1"/>
    <x v="1"/>
    <n v="66"/>
    <x v="2"/>
    <n v="2"/>
    <x v="0"/>
    <n v="4"/>
    <x v="2"/>
    <n v="5460"/>
    <n v="6219"/>
    <n v="4"/>
    <s v="Y"/>
    <x v="1"/>
    <n v="22"/>
    <x v="1"/>
    <n v="4"/>
    <n v="80"/>
    <x v="3"/>
    <n v="13"/>
    <x v="5"/>
    <x v="3"/>
    <n v="7"/>
    <n v="7"/>
    <x v="8"/>
    <n v="7"/>
  </r>
  <r>
    <n v="27"/>
    <x v="1"/>
    <x v="0"/>
    <n v="798"/>
    <x v="1"/>
    <x v="16"/>
    <x v="2"/>
    <s v="Medical"/>
    <n v="1"/>
    <n v="655"/>
    <n v="1"/>
    <x v="0"/>
    <n v="66"/>
    <x v="1"/>
    <n v="1"/>
    <x v="1"/>
    <n v="3"/>
    <x v="2"/>
    <n v="2187"/>
    <n v="5013"/>
    <n v="0"/>
    <s v="Y"/>
    <x v="1"/>
    <n v="12"/>
    <x v="0"/>
    <n v="3"/>
    <n v="80"/>
    <x v="3"/>
    <n v="6"/>
    <x v="3"/>
    <x v="2"/>
    <n v="5"/>
    <n v="3"/>
    <x v="0"/>
    <n v="3"/>
  </r>
  <r>
    <n v="37"/>
    <x v="1"/>
    <x v="0"/>
    <n v="558"/>
    <x v="0"/>
    <x v="2"/>
    <x v="3"/>
    <s v="Marketing"/>
    <n v="1"/>
    <n v="656"/>
    <n v="4"/>
    <x v="1"/>
    <n v="75"/>
    <x v="0"/>
    <n v="2"/>
    <x v="0"/>
    <n v="3"/>
    <x v="1"/>
    <n v="9602"/>
    <n v="3010"/>
    <n v="4"/>
    <s v="Y"/>
    <x v="0"/>
    <n v="11"/>
    <x v="0"/>
    <n v="3"/>
    <n v="80"/>
    <x v="1"/>
    <n v="17"/>
    <x v="1"/>
    <x v="2"/>
    <n v="3"/>
    <n v="0"/>
    <x v="1"/>
    <n v="0"/>
  </r>
  <r>
    <n v="20"/>
    <x v="1"/>
    <x v="0"/>
    <n v="959"/>
    <x v="1"/>
    <x v="0"/>
    <x v="3"/>
    <s v="Life Sciences"/>
    <n v="1"/>
    <n v="657"/>
    <n v="4"/>
    <x v="0"/>
    <n v="83"/>
    <x v="1"/>
    <n v="1"/>
    <x v="1"/>
    <n v="2"/>
    <x v="0"/>
    <n v="2836"/>
    <n v="11757"/>
    <n v="1"/>
    <s v="Y"/>
    <x v="1"/>
    <n v="13"/>
    <x v="0"/>
    <n v="4"/>
    <n v="80"/>
    <x v="0"/>
    <n v="1"/>
    <x v="0"/>
    <x v="3"/>
    <n v="1"/>
    <n v="0"/>
    <x v="0"/>
    <n v="0"/>
  </r>
  <r>
    <n v="42"/>
    <x v="1"/>
    <x v="0"/>
    <n v="622"/>
    <x v="1"/>
    <x v="2"/>
    <x v="2"/>
    <s v="Life Sciences"/>
    <n v="1"/>
    <n v="659"/>
    <n v="3"/>
    <x v="0"/>
    <n v="81"/>
    <x v="0"/>
    <n v="2"/>
    <x v="4"/>
    <n v="4"/>
    <x v="1"/>
    <n v="4089"/>
    <n v="5718"/>
    <n v="1"/>
    <s v="Y"/>
    <x v="1"/>
    <n v="13"/>
    <x v="0"/>
    <n v="2"/>
    <n v="80"/>
    <x v="3"/>
    <n v="10"/>
    <x v="5"/>
    <x v="1"/>
    <n v="10"/>
    <n v="2"/>
    <x v="3"/>
    <n v="2"/>
  </r>
  <r>
    <n v="43"/>
    <x v="1"/>
    <x v="0"/>
    <n v="782"/>
    <x v="1"/>
    <x v="16"/>
    <x v="2"/>
    <s v="Other"/>
    <n v="1"/>
    <n v="661"/>
    <n v="2"/>
    <x v="1"/>
    <n v="50"/>
    <x v="1"/>
    <n v="4"/>
    <x v="7"/>
    <n v="4"/>
    <x v="2"/>
    <n v="16627"/>
    <n v="2671"/>
    <n v="4"/>
    <s v="Y"/>
    <x v="0"/>
    <n v="14"/>
    <x v="0"/>
    <n v="3"/>
    <n v="80"/>
    <x v="1"/>
    <n v="21"/>
    <x v="1"/>
    <x v="2"/>
    <n v="1"/>
    <n v="0"/>
    <x v="0"/>
    <n v="0"/>
  </r>
  <r>
    <n v="38"/>
    <x v="1"/>
    <x v="0"/>
    <n v="362"/>
    <x v="1"/>
    <x v="0"/>
    <x v="1"/>
    <s v="Life Sciences"/>
    <n v="1"/>
    <n v="662"/>
    <n v="3"/>
    <x v="0"/>
    <n v="43"/>
    <x v="0"/>
    <n v="1"/>
    <x v="1"/>
    <n v="1"/>
    <x v="0"/>
    <n v="2619"/>
    <n v="14561"/>
    <n v="3"/>
    <s v="Y"/>
    <x v="1"/>
    <n v="17"/>
    <x v="0"/>
    <n v="4"/>
    <n v="80"/>
    <x v="0"/>
    <n v="8"/>
    <x v="1"/>
    <x v="2"/>
    <n v="0"/>
    <n v="0"/>
    <x v="0"/>
    <n v="0"/>
  </r>
  <r>
    <n v="43"/>
    <x v="1"/>
    <x v="1"/>
    <n v="1001"/>
    <x v="1"/>
    <x v="14"/>
    <x v="4"/>
    <s v="Medical"/>
    <n v="1"/>
    <n v="663"/>
    <n v="4"/>
    <x v="1"/>
    <n v="72"/>
    <x v="0"/>
    <n v="2"/>
    <x v="2"/>
    <n v="3"/>
    <x v="2"/>
    <n v="5679"/>
    <n v="19627"/>
    <n v="3"/>
    <s v="Y"/>
    <x v="0"/>
    <n v="13"/>
    <x v="0"/>
    <n v="2"/>
    <n v="80"/>
    <x v="1"/>
    <n v="10"/>
    <x v="1"/>
    <x v="1"/>
    <n v="8"/>
    <n v="7"/>
    <x v="5"/>
    <n v="7"/>
  </r>
  <r>
    <n v="48"/>
    <x v="1"/>
    <x v="0"/>
    <n v="1236"/>
    <x v="1"/>
    <x v="0"/>
    <x v="2"/>
    <s v="Life Sciences"/>
    <n v="1"/>
    <n v="664"/>
    <n v="4"/>
    <x v="0"/>
    <n v="40"/>
    <x v="1"/>
    <n v="4"/>
    <x v="5"/>
    <n v="1"/>
    <x v="1"/>
    <n v="15402"/>
    <n v="17997"/>
    <n v="7"/>
    <s v="Y"/>
    <x v="1"/>
    <n v="11"/>
    <x v="0"/>
    <n v="1"/>
    <n v="80"/>
    <x v="1"/>
    <n v="21"/>
    <x v="1"/>
    <x v="0"/>
    <n v="3"/>
    <n v="2"/>
    <x v="0"/>
    <n v="2"/>
  </r>
  <r>
    <n v="44"/>
    <x v="1"/>
    <x v="0"/>
    <n v="1112"/>
    <x v="2"/>
    <x v="0"/>
    <x v="2"/>
    <s v="Life Sciences"/>
    <n v="1"/>
    <n v="665"/>
    <n v="1"/>
    <x v="0"/>
    <n v="50"/>
    <x v="1"/>
    <n v="2"/>
    <x v="8"/>
    <n v="3"/>
    <x v="0"/>
    <n v="5985"/>
    <n v="26894"/>
    <n v="4"/>
    <s v="Y"/>
    <x v="1"/>
    <n v="11"/>
    <x v="0"/>
    <n v="2"/>
    <n v="80"/>
    <x v="0"/>
    <n v="10"/>
    <x v="4"/>
    <x v="3"/>
    <n v="2"/>
    <n v="2"/>
    <x v="0"/>
    <n v="2"/>
  </r>
  <r>
    <n v="34"/>
    <x v="1"/>
    <x v="0"/>
    <n v="204"/>
    <x v="0"/>
    <x v="24"/>
    <x v="3"/>
    <s v="Technical Degree"/>
    <n v="1"/>
    <n v="666"/>
    <n v="3"/>
    <x v="0"/>
    <n v="31"/>
    <x v="0"/>
    <n v="1"/>
    <x v="6"/>
    <n v="3"/>
    <x v="2"/>
    <n v="2579"/>
    <n v="2912"/>
    <n v="1"/>
    <s v="Y"/>
    <x v="0"/>
    <n v="18"/>
    <x v="0"/>
    <n v="4"/>
    <n v="80"/>
    <x v="3"/>
    <n v="8"/>
    <x v="1"/>
    <x v="1"/>
    <n v="8"/>
    <n v="2"/>
    <x v="0"/>
    <n v="6"/>
  </r>
  <r>
    <n v="27"/>
    <x v="0"/>
    <x v="0"/>
    <n v="1420"/>
    <x v="0"/>
    <x v="2"/>
    <x v="1"/>
    <s v="Marketing"/>
    <n v="1"/>
    <n v="667"/>
    <n v="3"/>
    <x v="1"/>
    <n v="85"/>
    <x v="0"/>
    <n v="1"/>
    <x v="6"/>
    <n v="1"/>
    <x v="2"/>
    <n v="3041"/>
    <n v="16346"/>
    <n v="0"/>
    <s v="Y"/>
    <x v="1"/>
    <n v="11"/>
    <x v="0"/>
    <n v="2"/>
    <n v="80"/>
    <x v="1"/>
    <n v="5"/>
    <x v="1"/>
    <x v="1"/>
    <n v="4"/>
    <n v="3"/>
    <x v="0"/>
    <n v="2"/>
  </r>
  <r>
    <n v="21"/>
    <x v="1"/>
    <x v="0"/>
    <n v="1343"/>
    <x v="0"/>
    <x v="23"/>
    <x v="1"/>
    <s v="Technical Degree"/>
    <n v="1"/>
    <n v="669"/>
    <n v="3"/>
    <x v="1"/>
    <n v="49"/>
    <x v="0"/>
    <n v="1"/>
    <x v="6"/>
    <n v="3"/>
    <x v="0"/>
    <n v="3447"/>
    <n v="24444"/>
    <n v="1"/>
    <s v="Y"/>
    <x v="1"/>
    <n v="11"/>
    <x v="0"/>
    <n v="3"/>
    <n v="80"/>
    <x v="0"/>
    <n v="3"/>
    <x v="2"/>
    <x v="1"/>
    <n v="3"/>
    <n v="2"/>
    <x v="1"/>
    <n v="2"/>
  </r>
  <r>
    <n v="44"/>
    <x v="1"/>
    <x v="0"/>
    <n v="1315"/>
    <x v="1"/>
    <x v="3"/>
    <x v="2"/>
    <s v="Other"/>
    <n v="1"/>
    <n v="671"/>
    <n v="4"/>
    <x v="1"/>
    <n v="35"/>
    <x v="0"/>
    <n v="5"/>
    <x v="5"/>
    <n v="4"/>
    <x v="1"/>
    <n v="19513"/>
    <n v="9358"/>
    <n v="4"/>
    <s v="Y"/>
    <x v="0"/>
    <n v="12"/>
    <x v="0"/>
    <n v="1"/>
    <n v="80"/>
    <x v="1"/>
    <n v="26"/>
    <x v="2"/>
    <x v="3"/>
    <n v="2"/>
    <n v="2"/>
    <x v="0"/>
    <n v="1"/>
  </r>
  <r>
    <n v="22"/>
    <x v="1"/>
    <x v="0"/>
    <n v="604"/>
    <x v="1"/>
    <x v="16"/>
    <x v="1"/>
    <s v="Medical"/>
    <n v="1"/>
    <n v="675"/>
    <n v="1"/>
    <x v="1"/>
    <n v="69"/>
    <x v="0"/>
    <n v="1"/>
    <x v="1"/>
    <n v="3"/>
    <x v="1"/>
    <n v="2773"/>
    <n v="12145"/>
    <n v="0"/>
    <s v="Y"/>
    <x v="1"/>
    <n v="20"/>
    <x v="1"/>
    <n v="4"/>
    <n v="80"/>
    <x v="0"/>
    <n v="3"/>
    <x v="1"/>
    <x v="1"/>
    <n v="2"/>
    <n v="2"/>
    <x v="3"/>
    <n v="2"/>
  </r>
  <r>
    <n v="33"/>
    <x v="1"/>
    <x v="0"/>
    <n v="1216"/>
    <x v="0"/>
    <x v="1"/>
    <x v="2"/>
    <s v="Marketing"/>
    <n v="1"/>
    <n v="677"/>
    <n v="3"/>
    <x v="1"/>
    <n v="39"/>
    <x v="0"/>
    <n v="2"/>
    <x v="0"/>
    <n v="3"/>
    <x v="2"/>
    <n v="7104"/>
    <n v="20431"/>
    <n v="0"/>
    <s v="Y"/>
    <x v="1"/>
    <n v="12"/>
    <x v="0"/>
    <n v="4"/>
    <n v="80"/>
    <x v="0"/>
    <n v="6"/>
    <x v="1"/>
    <x v="1"/>
    <n v="5"/>
    <n v="0"/>
    <x v="1"/>
    <n v="2"/>
  </r>
  <r>
    <n v="32"/>
    <x v="1"/>
    <x v="0"/>
    <n v="646"/>
    <x v="1"/>
    <x v="14"/>
    <x v="2"/>
    <s v="Life Sciences"/>
    <n v="1"/>
    <n v="679"/>
    <n v="1"/>
    <x v="0"/>
    <n v="92"/>
    <x v="0"/>
    <n v="2"/>
    <x v="1"/>
    <n v="4"/>
    <x v="1"/>
    <n v="6322"/>
    <n v="18089"/>
    <n v="1"/>
    <s v="Y"/>
    <x v="0"/>
    <n v="12"/>
    <x v="0"/>
    <n v="4"/>
    <n v="80"/>
    <x v="1"/>
    <n v="6"/>
    <x v="2"/>
    <x v="2"/>
    <n v="6"/>
    <n v="4"/>
    <x v="0"/>
    <n v="5"/>
  </r>
  <r>
    <n v="30"/>
    <x v="1"/>
    <x v="1"/>
    <n v="160"/>
    <x v="1"/>
    <x v="3"/>
    <x v="3"/>
    <s v="Medical"/>
    <n v="1"/>
    <n v="680"/>
    <n v="3"/>
    <x v="0"/>
    <n v="71"/>
    <x v="0"/>
    <n v="1"/>
    <x v="1"/>
    <n v="3"/>
    <x v="2"/>
    <n v="2083"/>
    <n v="22653"/>
    <n v="1"/>
    <s v="Y"/>
    <x v="1"/>
    <n v="20"/>
    <x v="1"/>
    <n v="3"/>
    <n v="80"/>
    <x v="1"/>
    <n v="1"/>
    <x v="2"/>
    <x v="1"/>
    <n v="1"/>
    <n v="0"/>
    <x v="0"/>
    <n v="0"/>
  </r>
  <r>
    <n v="53"/>
    <x v="1"/>
    <x v="0"/>
    <n v="238"/>
    <x v="0"/>
    <x v="0"/>
    <x v="1"/>
    <s v="Medical"/>
    <n v="1"/>
    <n v="682"/>
    <n v="4"/>
    <x v="0"/>
    <n v="34"/>
    <x v="0"/>
    <n v="2"/>
    <x v="0"/>
    <n v="1"/>
    <x v="0"/>
    <n v="8381"/>
    <n v="7507"/>
    <n v="7"/>
    <s v="Y"/>
    <x v="1"/>
    <n v="20"/>
    <x v="1"/>
    <n v="4"/>
    <n v="80"/>
    <x v="0"/>
    <n v="18"/>
    <x v="2"/>
    <x v="3"/>
    <n v="14"/>
    <n v="7"/>
    <x v="6"/>
    <n v="10"/>
  </r>
  <r>
    <n v="34"/>
    <x v="1"/>
    <x v="0"/>
    <n v="1397"/>
    <x v="1"/>
    <x v="0"/>
    <x v="4"/>
    <s v="Life Sciences"/>
    <n v="1"/>
    <n v="683"/>
    <n v="2"/>
    <x v="1"/>
    <n v="42"/>
    <x v="0"/>
    <n v="1"/>
    <x v="1"/>
    <n v="4"/>
    <x v="1"/>
    <n v="2691"/>
    <n v="7660"/>
    <n v="1"/>
    <s v="Y"/>
    <x v="1"/>
    <n v="12"/>
    <x v="0"/>
    <n v="4"/>
    <n v="80"/>
    <x v="1"/>
    <n v="10"/>
    <x v="5"/>
    <x v="2"/>
    <n v="10"/>
    <n v="9"/>
    <x v="6"/>
    <n v="8"/>
  </r>
  <r>
    <n v="45"/>
    <x v="0"/>
    <x v="1"/>
    <n v="306"/>
    <x v="0"/>
    <x v="9"/>
    <x v="2"/>
    <s v="Life Sciences"/>
    <n v="1"/>
    <n v="684"/>
    <n v="1"/>
    <x v="0"/>
    <n v="100"/>
    <x v="0"/>
    <n v="2"/>
    <x v="0"/>
    <n v="1"/>
    <x v="1"/>
    <n v="4286"/>
    <n v="5630"/>
    <n v="2"/>
    <s v="Y"/>
    <x v="1"/>
    <n v="14"/>
    <x v="0"/>
    <n v="4"/>
    <n v="80"/>
    <x v="3"/>
    <n v="5"/>
    <x v="5"/>
    <x v="1"/>
    <n v="1"/>
    <n v="1"/>
    <x v="0"/>
    <n v="0"/>
  </r>
  <r>
    <n v="26"/>
    <x v="1"/>
    <x v="0"/>
    <n v="991"/>
    <x v="1"/>
    <x v="16"/>
    <x v="3"/>
    <s v="Life Sciences"/>
    <n v="1"/>
    <n v="686"/>
    <n v="3"/>
    <x v="0"/>
    <n v="71"/>
    <x v="0"/>
    <n v="1"/>
    <x v="2"/>
    <n v="4"/>
    <x v="1"/>
    <n v="2659"/>
    <n v="17759"/>
    <n v="1"/>
    <s v="Y"/>
    <x v="0"/>
    <n v="13"/>
    <x v="0"/>
    <n v="3"/>
    <n v="80"/>
    <x v="1"/>
    <n v="3"/>
    <x v="2"/>
    <x v="1"/>
    <n v="3"/>
    <n v="2"/>
    <x v="0"/>
    <n v="2"/>
  </r>
  <r>
    <n v="37"/>
    <x v="1"/>
    <x v="0"/>
    <n v="482"/>
    <x v="1"/>
    <x v="3"/>
    <x v="3"/>
    <s v="Other"/>
    <n v="1"/>
    <n v="689"/>
    <n v="3"/>
    <x v="1"/>
    <n v="36"/>
    <x v="0"/>
    <n v="3"/>
    <x v="3"/>
    <n v="3"/>
    <x v="1"/>
    <n v="9434"/>
    <n v="9606"/>
    <n v="1"/>
    <s v="Y"/>
    <x v="1"/>
    <n v="15"/>
    <x v="0"/>
    <n v="3"/>
    <n v="80"/>
    <x v="1"/>
    <n v="10"/>
    <x v="2"/>
    <x v="1"/>
    <n v="10"/>
    <n v="7"/>
    <x v="4"/>
    <n v="8"/>
  </r>
  <r>
    <n v="29"/>
    <x v="1"/>
    <x v="0"/>
    <n v="1176"/>
    <x v="0"/>
    <x v="3"/>
    <x v="0"/>
    <s v="Medical"/>
    <n v="1"/>
    <n v="690"/>
    <n v="2"/>
    <x v="0"/>
    <n v="62"/>
    <x v="0"/>
    <n v="2"/>
    <x v="0"/>
    <n v="3"/>
    <x v="1"/>
    <n v="5561"/>
    <n v="3487"/>
    <n v="1"/>
    <s v="Y"/>
    <x v="1"/>
    <n v="14"/>
    <x v="0"/>
    <n v="1"/>
    <n v="80"/>
    <x v="1"/>
    <n v="6"/>
    <x v="3"/>
    <x v="2"/>
    <n v="6"/>
    <n v="0"/>
    <x v="1"/>
    <n v="2"/>
  </r>
  <r>
    <n v="35"/>
    <x v="1"/>
    <x v="0"/>
    <n v="1017"/>
    <x v="1"/>
    <x v="16"/>
    <x v="2"/>
    <s v="Life Sciences"/>
    <n v="1"/>
    <n v="691"/>
    <n v="2"/>
    <x v="1"/>
    <n v="82"/>
    <x v="3"/>
    <n v="2"/>
    <x v="1"/>
    <n v="4"/>
    <x v="0"/>
    <n v="6646"/>
    <n v="19368"/>
    <n v="1"/>
    <s v="Y"/>
    <x v="1"/>
    <n v="13"/>
    <x v="0"/>
    <n v="2"/>
    <n v="80"/>
    <x v="0"/>
    <n v="17"/>
    <x v="1"/>
    <x v="1"/>
    <n v="17"/>
    <n v="11"/>
    <x v="14"/>
    <n v="8"/>
  </r>
  <r>
    <n v="33"/>
    <x v="1"/>
    <x v="1"/>
    <n v="1296"/>
    <x v="1"/>
    <x v="16"/>
    <x v="3"/>
    <s v="Life Sciences"/>
    <n v="1"/>
    <n v="692"/>
    <n v="3"/>
    <x v="1"/>
    <n v="30"/>
    <x v="0"/>
    <n v="2"/>
    <x v="4"/>
    <n v="4"/>
    <x v="2"/>
    <n v="7725"/>
    <n v="5335"/>
    <n v="3"/>
    <s v="Y"/>
    <x v="1"/>
    <n v="23"/>
    <x v="1"/>
    <n v="3"/>
    <n v="80"/>
    <x v="1"/>
    <n v="15"/>
    <x v="2"/>
    <x v="0"/>
    <n v="13"/>
    <n v="11"/>
    <x v="5"/>
    <n v="7"/>
  </r>
  <r>
    <n v="54"/>
    <x v="1"/>
    <x v="0"/>
    <n v="397"/>
    <x v="2"/>
    <x v="10"/>
    <x v="2"/>
    <s v="Medical"/>
    <n v="1"/>
    <n v="698"/>
    <n v="3"/>
    <x v="1"/>
    <n v="88"/>
    <x v="0"/>
    <n v="3"/>
    <x v="8"/>
    <n v="2"/>
    <x v="1"/>
    <n v="10725"/>
    <n v="6729"/>
    <n v="2"/>
    <s v="Y"/>
    <x v="1"/>
    <n v="15"/>
    <x v="0"/>
    <n v="3"/>
    <n v="80"/>
    <x v="1"/>
    <n v="16"/>
    <x v="4"/>
    <x v="3"/>
    <n v="9"/>
    <n v="7"/>
    <x v="4"/>
    <n v="1"/>
  </r>
  <r>
    <n v="36"/>
    <x v="1"/>
    <x v="0"/>
    <n v="913"/>
    <x v="1"/>
    <x v="14"/>
    <x v="0"/>
    <s v="Medical"/>
    <n v="1"/>
    <n v="699"/>
    <n v="2"/>
    <x v="1"/>
    <n v="48"/>
    <x v="1"/>
    <n v="2"/>
    <x v="3"/>
    <n v="2"/>
    <x v="2"/>
    <n v="8847"/>
    <n v="13934"/>
    <n v="2"/>
    <s v="Y"/>
    <x v="0"/>
    <n v="11"/>
    <x v="0"/>
    <n v="3"/>
    <n v="80"/>
    <x v="1"/>
    <n v="13"/>
    <x v="2"/>
    <x v="1"/>
    <n v="3"/>
    <n v="2"/>
    <x v="0"/>
    <n v="2"/>
  </r>
  <r>
    <n v="27"/>
    <x v="1"/>
    <x v="0"/>
    <n v="1115"/>
    <x v="1"/>
    <x v="3"/>
    <x v="2"/>
    <s v="Medical"/>
    <n v="1"/>
    <n v="700"/>
    <n v="1"/>
    <x v="1"/>
    <n v="54"/>
    <x v="1"/>
    <n v="1"/>
    <x v="1"/>
    <n v="4"/>
    <x v="0"/>
    <n v="2045"/>
    <n v="15174"/>
    <n v="0"/>
    <s v="Y"/>
    <x v="1"/>
    <n v="13"/>
    <x v="0"/>
    <n v="4"/>
    <n v="80"/>
    <x v="0"/>
    <n v="5"/>
    <x v="0"/>
    <x v="1"/>
    <n v="4"/>
    <n v="2"/>
    <x v="1"/>
    <n v="1"/>
  </r>
  <r>
    <n v="20"/>
    <x v="0"/>
    <x v="0"/>
    <n v="1362"/>
    <x v="1"/>
    <x v="17"/>
    <x v="1"/>
    <s v="Medical"/>
    <n v="1"/>
    <n v="701"/>
    <n v="4"/>
    <x v="1"/>
    <n v="32"/>
    <x v="0"/>
    <n v="1"/>
    <x v="1"/>
    <n v="3"/>
    <x v="0"/>
    <n v="1009"/>
    <n v="26999"/>
    <n v="1"/>
    <s v="Y"/>
    <x v="0"/>
    <n v="11"/>
    <x v="0"/>
    <n v="4"/>
    <n v="80"/>
    <x v="0"/>
    <n v="1"/>
    <x v="3"/>
    <x v="1"/>
    <n v="1"/>
    <n v="0"/>
    <x v="1"/>
    <n v="1"/>
  </r>
  <r>
    <n v="33"/>
    <x v="0"/>
    <x v="1"/>
    <n v="1076"/>
    <x v="1"/>
    <x v="3"/>
    <x v="3"/>
    <s v="Life Sciences"/>
    <n v="1"/>
    <n v="702"/>
    <n v="1"/>
    <x v="1"/>
    <n v="70"/>
    <x v="0"/>
    <n v="1"/>
    <x v="1"/>
    <n v="1"/>
    <x v="0"/>
    <n v="3348"/>
    <n v="3164"/>
    <n v="1"/>
    <s v="Y"/>
    <x v="0"/>
    <n v="11"/>
    <x v="0"/>
    <n v="1"/>
    <n v="80"/>
    <x v="0"/>
    <n v="10"/>
    <x v="1"/>
    <x v="1"/>
    <n v="10"/>
    <n v="8"/>
    <x v="10"/>
    <n v="7"/>
  </r>
  <r>
    <n v="35"/>
    <x v="1"/>
    <x v="2"/>
    <n v="727"/>
    <x v="1"/>
    <x v="3"/>
    <x v="3"/>
    <s v="Life Sciences"/>
    <n v="1"/>
    <n v="704"/>
    <n v="3"/>
    <x v="1"/>
    <n v="41"/>
    <x v="1"/>
    <n v="1"/>
    <x v="2"/>
    <n v="3"/>
    <x v="1"/>
    <n v="1281"/>
    <n v="16900"/>
    <n v="1"/>
    <s v="Y"/>
    <x v="1"/>
    <n v="18"/>
    <x v="0"/>
    <n v="3"/>
    <n v="80"/>
    <x v="3"/>
    <n v="1"/>
    <x v="1"/>
    <x v="1"/>
    <n v="1"/>
    <n v="0"/>
    <x v="0"/>
    <n v="0"/>
  </r>
  <r>
    <n v="23"/>
    <x v="1"/>
    <x v="0"/>
    <n v="885"/>
    <x v="1"/>
    <x v="18"/>
    <x v="3"/>
    <s v="Medical"/>
    <n v="1"/>
    <n v="705"/>
    <n v="1"/>
    <x v="1"/>
    <n v="58"/>
    <x v="2"/>
    <n v="1"/>
    <x v="1"/>
    <n v="1"/>
    <x v="1"/>
    <n v="2819"/>
    <n v="8544"/>
    <n v="2"/>
    <s v="Y"/>
    <x v="1"/>
    <n v="16"/>
    <x v="0"/>
    <n v="1"/>
    <n v="80"/>
    <x v="1"/>
    <n v="5"/>
    <x v="1"/>
    <x v="3"/>
    <n v="3"/>
    <n v="2"/>
    <x v="0"/>
    <n v="2"/>
  </r>
  <r>
    <n v="25"/>
    <x v="1"/>
    <x v="0"/>
    <n v="810"/>
    <x v="0"/>
    <x v="1"/>
    <x v="3"/>
    <s v="Life Sciences"/>
    <n v="1"/>
    <n v="707"/>
    <n v="4"/>
    <x v="1"/>
    <n v="57"/>
    <x v="2"/>
    <n v="2"/>
    <x v="0"/>
    <n v="2"/>
    <x v="1"/>
    <n v="4851"/>
    <n v="15678"/>
    <n v="0"/>
    <s v="Y"/>
    <x v="1"/>
    <n v="22"/>
    <x v="1"/>
    <n v="3"/>
    <n v="80"/>
    <x v="1"/>
    <n v="4"/>
    <x v="5"/>
    <x v="1"/>
    <n v="3"/>
    <n v="2"/>
    <x v="1"/>
    <n v="2"/>
  </r>
  <r>
    <n v="38"/>
    <x v="1"/>
    <x v="0"/>
    <n v="243"/>
    <x v="0"/>
    <x v="15"/>
    <x v="2"/>
    <s v="Marketing"/>
    <n v="1"/>
    <n v="709"/>
    <n v="4"/>
    <x v="0"/>
    <n v="46"/>
    <x v="1"/>
    <n v="2"/>
    <x v="0"/>
    <n v="4"/>
    <x v="0"/>
    <n v="4028"/>
    <n v="7791"/>
    <n v="0"/>
    <s v="Y"/>
    <x v="1"/>
    <n v="20"/>
    <x v="1"/>
    <n v="1"/>
    <n v="80"/>
    <x v="0"/>
    <n v="8"/>
    <x v="2"/>
    <x v="1"/>
    <n v="7"/>
    <n v="7"/>
    <x v="0"/>
    <n v="5"/>
  </r>
  <r>
    <n v="29"/>
    <x v="1"/>
    <x v="1"/>
    <n v="806"/>
    <x v="1"/>
    <x v="0"/>
    <x v="2"/>
    <s v="Life Sciences"/>
    <n v="1"/>
    <n v="710"/>
    <n v="2"/>
    <x v="1"/>
    <n v="76"/>
    <x v="3"/>
    <n v="1"/>
    <x v="1"/>
    <n v="4"/>
    <x v="2"/>
    <n v="2720"/>
    <n v="18959"/>
    <n v="1"/>
    <s v="Y"/>
    <x v="1"/>
    <n v="18"/>
    <x v="0"/>
    <n v="4"/>
    <n v="80"/>
    <x v="1"/>
    <n v="10"/>
    <x v="3"/>
    <x v="1"/>
    <n v="10"/>
    <n v="7"/>
    <x v="3"/>
    <n v="8"/>
  </r>
  <r>
    <n v="48"/>
    <x v="1"/>
    <x v="0"/>
    <n v="817"/>
    <x v="0"/>
    <x v="2"/>
    <x v="1"/>
    <s v="Marketing"/>
    <n v="1"/>
    <n v="712"/>
    <n v="2"/>
    <x v="1"/>
    <n v="56"/>
    <x v="2"/>
    <n v="2"/>
    <x v="0"/>
    <n v="2"/>
    <x v="1"/>
    <n v="8120"/>
    <n v="18597"/>
    <n v="3"/>
    <s v="Y"/>
    <x v="1"/>
    <n v="12"/>
    <x v="0"/>
    <n v="4"/>
    <n v="80"/>
    <x v="0"/>
    <n v="12"/>
    <x v="1"/>
    <x v="1"/>
    <n v="2"/>
    <n v="2"/>
    <x v="3"/>
    <n v="2"/>
  </r>
  <r>
    <n v="27"/>
    <x v="1"/>
    <x v="1"/>
    <n v="1410"/>
    <x v="0"/>
    <x v="3"/>
    <x v="1"/>
    <s v="Medical"/>
    <n v="1"/>
    <n v="714"/>
    <n v="4"/>
    <x v="0"/>
    <n v="71"/>
    <x v="2"/>
    <n v="2"/>
    <x v="0"/>
    <n v="4"/>
    <x v="2"/>
    <n v="4647"/>
    <n v="16673"/>
    <n v="1"/>
    <s v="Y"/>
    <x v="0"/>
    <n v="20"/>
    <x v="1"/>
    <n v="2"/>
    <n v="80"/>
    <x v="3"/>
    <n v="6"/>
    <x v="1"/>
    <x v="1"/>
    <n v="6"/>
    <n v="5"/>
    <x v="0"/>
    <n v="4"/>
  </r>
  <r>
    <n v="37"/>
    <x v="1"/>
    <x v="0"/>
    <n v="1225"/>
    <x v="1"/>
    <x v="17"/>
    <x v="0"/>
    <s v="Life Sciences"/>
    <n v="1"/>
    <n v="715"/>
    <n v="4"/>
    <x v="1"/>
    <n v="80"/>
    <x v="2"/>
    <n v="1"/>
    <x v="1"/>
    <n v="4"/>
    <x v="0"/>
    <n v="4680"/>
    <n v="15232"/>
    <n v="3"/>
    <s v="Y"/>
    <x v="1"/>
    <n v="17"/>
    <x v="0"/>
    <n v="1"/>
    <n v="80"/>
    <x v="0"/>
    <n v="4"/>
    <x v="2"/>
    <x v="1"/>
    <n v="1"/>
    <n v="0"/>
    <x v="0"/>
    <n v="0"/>
  </r>
  <r>
    <n v="50"/>
    <x v="1"/>
    <x v="0"/>
    <n v="1207"/>
    <x v="1"/>
    <x v="26"/>
    <x v="1"/>
    <s v="Medical"/>
    <n v="1"/>
    <n v="716"/>
    <n v="4"/>
    <x v="1"/>
    <n v="74"/>
    <x v="2"/>
    <n v="1"/>
    <x v="2"/>
    <n v="3"/>
    <x v="1"/>
    <n v="3221"/>
    <n v="3297"/>
    <n v="1"/>
    <s v="Y"/>
    <x v="0"/>
    <n v="11"/>
    <x v="0"/>
    <n v="3"/>
    <n v="80"/>
    <x v="2"/>
    <n v="20"/>
    <x v="1"/>
    <x v="1"/>
    <n v="20"/>
    <n v="8"/>
    <x v="2"/>
    <n v="8"/>
  </r>
  <r>
    <n v="34"/>
    <x v="1"/>
    <x v="0"/>
    <n v="1442"/>
    <x v="1"/>
    <x v="14"/>
    <x v="3"/>
    <s v="Medical"/>
    <n v="1"/>
    <n v="717"/>
    <n v="4"/>
    <x v="0"/>
    <n v="46"/>
    <x v="1"/>
    <n v="3"/>
    <x v="4"/>
    <n v="2"/>
    <x v="0"/>
    <n v="8621"/>
    <n v="17654"/>
    <n v="1"/>
    <s v="Y"/>
    <x v="1"/>
    <n v="14"/>
    <x v="0"/>
    <n v="2"/>
    <n v="80"/>
    <x v="0"/>
    <n v="9"/>
    <x v="1"/>
    <x v="3"/>
    <n v="8"/>
    <n v="7"/>
    <x v="4"/>
    <n v="7"/>
  </r>
  <r>
    <n v="24"/>
    <x v="0"/>
    <x v="0"/>
    <n v="693"/>
    <x v="0"/>
    <x v="3"/>
    <x v="0"/>
    <s v="Life Sciences"/>
    <n v="1"/>
    <n v="720"/>
    <n v="1"/>
    <x v="0"/>
    <n v="65"/>
    <x v="0"/>
    <n v="2"/>
    <x v="0"/>
    <n v="3"/>
    <x v="0"/>
    <n v="4577"/>
    <n v="24785"/>
    <n v="9"/>
    <s v="Y"/>
    <x v="1"/>
    <n v="14"/>
    <x v="0"/>
    <n v="1"/>
    <n v="80"/>
    <x v="0"/>
    <n v="4"/>
    <x v="1"/>
    <x v="1"/>
    <n v="2"/>
    <n v="2"/>
    <x v="3"/>
    <n v="0"/>
  </r>
  <r>
    <n v="39"/>
    <x v="1"/>
    <x v="0"/>
    <n v="408"/>
    <x v="1"/>
    <x v="2"/>
    <x v="2"/>
    <s v="Technical Degree"/>
    <n v="1"/>
    <n v="721"/>
    <n v="4"/>
    <x v="0"/>
    <n v="80"/>
    <x v="1"/>
    <n v="2"/>
    <x v="4"/>
    <n v="3"/>
    <x v="0"/>
    <n v="4553"/>
    <n v="20978"/>
    <n v="1"/>
    <s v="Y"/>
    <x v="1"/>
    <n v="11"/>
    <x v="0"/>
    <n v="1"/>
    <n v="80"/>
    <x v="0"/>
    <n v="20"/>
    <x v="5"/>
    <x v="1"/>
    <n v="20"/>
    <n v="7"/>
    <x v="14"/>
    <n v="10"/>
  </r>
  <r>
    <n v="32"/>
    <x v="1"/>
    <x v="0"/>
    <n v="929"/>
    <x v="0"/>
    <x v="17"/>
    <x v="3"/>
    <s v="Marketing"/>
    <n v="1"/>
    <n v="722"/>
    <n v="4"/>
    <x v="1"/>
    <n v="55"/>
    <x v="0"/>
    <n v="2"/>
    <x v="0"/>
    <n v="4"/>
    <x v="0"/>
    <n v="5396"/>
    <n v="21703"/>
    <n v="1"/>
    <s v="Y"/>
    <x v="1"/>
    <n v="12"/>
    <x v="0"/>
    <n v="4"/>
    <n v="80"/>
    <x v="0"/>
    <n v="10"/>
    <x v="2"/>
    <x v="2"/>
    <n v="10"/>
    <n v="7"/>
    <x v="0"/>
    <n v="8"/>
  </r>
  <r>
    <n v="50"/>
    <x v="0"/>
    <x v="1"/>
    <n v="562"/>
    <x v="0"/>
    <x v="1"/>
    <x v="0"/>
    <s v="Technical Degree"/>
    <n v="1"/>
    <n v="723"/>
    <n v="2"/>
    <x v="1"/>
    <n v="50"/>
    <x v="0"/>
    <n v="2"/>
    <x v="0"/>
    <n v="3"/>
    <x v="1"/>
    <n v="6796"/>
    <n v="23452"/>
    <n v="3"/>
    <s v="Y"/>
    <x v="0"/>
    <n v="14"/>
    <x v="0"/>
    <n v="1"/>
    <n v="80"/>
    <x v="1"/>
    <n v="18"/>
    <x v="5"/>
    <x v="1"/>
    <n v="4"/>
    <n v="3"/>
    <x v="1"/>
    <n v="3"/>
  </r>
  <r>
    <n v="38"/>
    <x v="1"/>
    <x v="0"/>
    <n v="827"/>
    <x v="1"/>
    <x v="0"/>
    <x v="2"/>
    <s v="Life Sciences"/>
    <n v="1"/>
    <n v="724"/>
    <n v="2"/>
    <x v="0"/>
    <n v="33"/>
    <x v="2"/>
    <n v="2"/>
    <x v="4"/>
    <n v="4"/>
    <x v="0"/>
    <n v="7625"/>
    <n v="19383"/>
    <n v="0"/>
    <s v="Y"/>
    <x v="1"/>
    <n v="13"/>
    <x v="0"/>
    <n v="3"/>
    <n v="80"/>
    <x v="0"/>
    <n v="10"/>
    <x v="5"/>
    <x v="2"/>
    <n v="9"/>
    <n v="7"/>
    <x v="1"/>
    <n v="8"/>
  </r>
  <r>
    <n v="27"/>
    <x v="1"/>
    <x v="0"/>
    <n v="608"/>
    <x v="1"/>
    <x v="0"/>
    <x v="0"/>
    <s v="Life Sciences"/>
    <n v="1"/>
    <n v="725"/>
    <n v="3"/>
    <x v="0"/>
    <n v="68"/>
    <x v="0"/>
    <n v="3"/>
    <x v="3"/>
    <n v="1"/>
    <x v="1"/>
    <n v="7412"/>
    <n v="6009"/>
    <n v="1"/>
    <s v="Y"/>
    <x v="1"/>
    <n v="11"/>
    <x v="0"/>
    <n v="4"/>
    <n v="80"/>
    <x v="0"/>
    <n v="9"/>
    <x v="1"/>
    <x v="1"/>
    <n v="9"/>
    <n v="7"/>
    <x v="0"/>
    <n v="7"/>
  </r>
  <r>
    <n v="32"/>
    <x v="1"/>
    <x v="0"/>
    <n v="1018"/>
    <x v="1"/>
    <x v="3"/>
    <x v="0"/>
    <s v="Life Sciences"/>
    <n v="1"/>
    <n v="727"/>
    <n v="3"/>
    <x v="0"/>
    <n v="39"/>
    <x v="0"/>
    <n v="3"/>
    <x v="7"/>
    <n v="4"/>
    <x v="0"/>
    <n v="11159"/>
    <n v="19373"/>
    <n v="3"/>
    <s v="Y"/>
    <x v="1"/>
    <n v="15"/>
    <x v="0"/>
    <n v="4"/>
    <n v="80"/>
    <x v="0"/>
    <n v="10"/>
    <x v="6"/>
    <x v="1"/>
    <n v="7"/>
    <n v="7"/>
    <x v="4"/>
    <n v="7"/>
  </r>
  <r>
    <n v="47"/>
    <x v="1"/>
    <x v="0"/>
    <n v="703"/>
    <x v="0"/>
    <x v="24"/>
    <x v="2"/>
    <s v="Marketing"/>
    <n v="1"/>
    <n v="728"/>
    <n v="4"/>
    <x v="1"/>
    <n v="42"/>
    <x v="0"/>
    <n v="2"/>
    <x v="0"/>
    <n v="1"/>
    <x v="0"/>
    <n v="4960"/>
    <n v="11825"/>
    <n v="2"/>
    <s v="Y"/>
    <x v="1"/>
    <n v="12"/>
    <x v="0"/>
    <n v="4"/>
    <n v="80"/>
    <x v="0"/>
    <n v="20"/>
    <x v="2"/>
    <x v="1"/>
    <n v="7"/>
    <n v="7"/>
    <x v="1"/>
    <n v="7"/>
  </r>
  <r>
    <n v="40"/>
    <x v="1"/>
    <x v="1"/>
    <n v="580"/>
    <x v="0"/>
    <x v="12"/>
    <x v="2"/>
    <s v="Life Sciences"/>
    <n v="1"/>
    <n v="729"/>
    <n v="4"/>
    <x v="1"/>
    <n v="48"/>
    <x v="1"/>
    <n v="3"/>
    <x v="0"/>
    <n v="1"/>
    <x v="1"/>
    <n v="10475"/>
    <n v="23772"/>
    <n v="5"/>
    <s v="Y"/>
    <x v="0"/>
    <n v="21"/>
    <x v="1"/>
    <n v="3"/>
    <n v="80"/>
    <x v="1"/>
    <n v="20"/>
    <x v="2"/>
    <x v="1"/>
    <n v="18"/>
    <n v="13"/>
    <x v="1"/>
    <n v="12"/>
  </r>
  <r>
    <n v="53"/>
    <x v="1"/>
    <x v="0"/>
    <n v="970"/>
    <x v="1"/>
    <x v="15"/>
    <x v="3"/>
    <s v="Life Sciences"/>
    <n v="1"/>
    <n v="730"/>
    <n v="3"/>
    <x v="1"/>
    <n v="59"/>
    <x v="2"/>
    <n v="4"/>
    <x v="7"/>
    <n v="3"/>
    <x v="1"/>
    <n v="14814"/>
    <n v="13514"/>
    <n v="3"/>
    <s v="Y"/>
    <x v="1"/>
    <n v="19"/>
    <x v="0"/>
    <n v="3"/>
    <n v="80"/>
    <x v="0"/>
    <n v="32"/>
    <x v="1"/>
    <x v="1"/>
    <n v="5"/>
    <n v="1"/>
    <x v="1"/>
    <n v="3"/>
  </r>
  <r>
    <n v="41"/>
    <x v="1"/>
    <x v="0"/>
    <n v="427"/>
    <x v="2"/>
    <x v="17"/>
    <x v="2"/>
    <s v="Human Resources"/>
    <n v="1"/>
    <n v="731"/>
    <n v="2"/>
    <x v="1"/>
    <n v="73"/>
    <x v="1"/>
    <n v="5"/>
    <x v="5"/>
    <n v="4"/>
    <x v="2"/>
    <n v="19141"/>
    <n v="8861"/>
    <n v="3"/>
    <s v="Y"/>
    <x v="1"/>
    <n v="15"/>
    <x v="0"/>
    <n v="2"/>
    <n v="80"/>
    <x v="2"/>
    <n v="23"/>
    <x v="2"/>
    <x v="2"/>
    <n v="21"/>
    <n v="6"/>
    <x v="12"/>
    <n v="6"/>
  </r>
  <r>
    <n v="60"/>
    <x v="1"/>
    <x v="0"/>
    <n v="1179"/>
    <x v="0"/>
    <x v="7"/>
    <x v="2"/>
    <s v="Marketing"/>
    <n v="1"/>
    <n v="732"/>
    <n v="1"/>
    <x v="1"/>
    <n v="84"/>
    <x v="0"/>
    <n v="2"/>
    <x v="0"/>
    <n v="1"/>
    <x v="0"/>
    <n v="5405"/>
    <n v="11924"/>
    <n v="8"/>
    <s v="Y"/>
    <x v="1"/>
    <n v="14"/>
    <x v="0"/>
    <n v="4"/>
    <n v="80"/>
    <x v="0"/>
    <n v="10"/>
    <x v="4"/>
    <x v="1"/>
    <n v="2"/>
    <n v="2"/>
    <x v="3"/>
    <n v="2"/>
  </r>
  <r>
    <n v="27"/>
    <x v="1"/>
    <x v="1"/>
    <n v="294"/>
    <x v="1"/>
    <x v="17"/>
    <x v="0"/>
    <s v="Life Sciences"/>
    <n v="1"/>
    <n v="733"/>
    <n v="4"/>
    <x v="1"/>
    <n v="32"/>
    <x v="0"/>
    <n v="3"/>
    <x v="3"/>
    <n v="1"/>
    <x v="2"/>
    <n v="8793"/>
    <n v="4809"/>
    <n v="1"/>
    <s v="Y"/>
    <x v="1"/>
    <n v="21"/>
    <x v="1"/>
    <n v="3"/>
    <n v="80"/>
    <x v="3"/>
    <n v="9"/>
    <x v="5"/>
    <x v="2"/>
    <n v="9"/>
    <n v="7"/>
    <x v="1"/>
    <n v="7"/>
  </r>
  <r>
    <n v="41"/>
    <x v="1"/>
    <x v="0"/>
    <n v="314"/>
    <x v="2"/>
    <x v="0"/>
    <x v="3"/>
    <s v="Human Resources"/>
    <n v="1"/>
    <n v="734"/>
    <n v="4"/>
    <x v="1"/>
    <n v="59"/>
    <x v="1"/>
    <n v="5"/>
    <x v="5"/>
    <n v="3"/>
    <x v="1"/>
    <n v="19189"/>
    <n v="19562"/>
    <n v="1"/>
    <s v="Y"/>
    <x v="1"/>
    <n v="12"/>
    <x v="0"/>
    <n v="2"/>
    <n v="80"/>
    <x v="1"/>
    <n v="22"/>
    <x v="1"/>
    <x v="1"/>
    <n v="22"/>
    <n v="7"/>
    <x v="3"/>
    <n v="10"/>
  </r>
  <r>
    <n v="50"/>
    <x v="1"/>
    <x v="0"/>
    <n v="316"/>
    <x v="0"/>
    <x v="1"/>
    <x v="2"/>
    <s v="Marketing"/>
    <n v="1"/>
    <n v="738"/>
    <n v="4"/>
    <x v="1"/>
    <n v="54"/>
    <x v="0"/>
    <n v="1"/>
    <x v="6"/>
    <n v="2"/>
    <x v="1"/>
    <n v="3875"/>
    <n v="9983"/>
    <n v="7"/>
    <s v="Y"/>
    <x v="1"/>
    <n v="15"/>
    <x v="0"/>
    <n v="4"/>
    <n v="80"/>
    <x v="1"/>
    <n v="4"/>
    <x v="2"/>
    <x v="1"/>
    <n v="2"/>
    <n v="2"/>
    <x v="3"/>
    <n v="2"/>
  </r>
  <r>
    <n v="28"/>
    <x v="0"/>
    <x v="0"/>
    <n v="654"/>
    <x v="1"/>
    <x v="0"/>
    <x v="0"/>
    <s v="Life Sciences"/>
    <n v="1"/>
    <n v="741"/>
    <n v="1"/>
    <x v="0"/>
    <n v="67"/>
    <x v="3"/>
    <n v="1"/>
    <x v="1"/>
    <n v="2"/>
    <x v="0"/>
    <n v="2216"/>
    <n v="3872"/>
    <n v="7"/>
    <s v="Y"/>
    <x v="0"/>
    <n v="13"/>
    <x v="0"/>
    <n v="4"/>
    <n v="80"/>
    <x v="0"/>
    <n v="10"/>
    <x v="5"/>
    <x v="1"/>
    <n v="7"/>
    <n v="7"/>
    <x v="2"/>
    <n v="7"/>
  </r>
  <r>
    <n v="36"/>
    <x v="1"/>
    <x v="2"/>
    <n v="427"/>
    <x v="1"/>
    <x v="1"/>
    <x v="3"/>
    <s v="Life Sciences"/>
    <n v="1"/>
    <n v="742"/>
    <n v="1"/>
    <x v="0"/>
    <n v="63"/>
    <x v="2"/>
    <n v="3"/>
    <x v="7"/>
    <n v="1"/>
    <x v="1"/>
    <n v="11713"/>
    <n v="20335"/>
    <n v="9"/>
    <s v="Y"/>
    <x v="1"/>
    <n v="14"/>
    <x v="0"/>
    <n v="1"/>
    <n v="80"/>
    <x v="1"/>
    <n v="10"/>
    <x v="2"/>
    <x v="1"/>
    <n v="8"/>
    <n v="7"/>
    <x v="0"/>
    <n v="5"/>
  </r>
  <r>
    <n v="38"/>
    <x v="1"/>
    <x v="0"/>
    <n v="168"/>
    <x v="1"/>
    <x v="0"/>
    <x v="3"/>
    <s v="Life Sciences"/>
    <n v="1"/>
    <n v="743"/>
    <n v="3"/>
    <x v="0"/>
    <n v="81"/>
    <x v="0"/>
    <n v="3"/>
    <x v="3"/>
    <n v="3"/>
    <x v="0"/>
    <n v="7861"/>
    <n v="15397"/>
    <n v="4"/>
    <s v="Y"/>
    <x v="0"/>
    <n v="14"/>
    <x v="0"/>
    <n v="4"/>
    <n v="80"/>
    <x v="0"/>
    <n v="10"/>
    <x v="5"/>
    <x v="3"/>
    <n v="1"/>
    <n v="0"/>
    <x v="0"/>
    <n v="0"/>
  </r>
  <r>
    <n v="44"/>
    <x v="1"/>
    <x v="2"/>
    <n v="381"/>
    <x v="1"/>
    <x v="4"/>
    <x v="3"/>
    <s v="Medical"/>
    <n v="1"/>
    <n v="744"/>
    <n v="1"/>
    <x v="1"/>
    <n v="49"/>
    <x v="3"/>
    <n v="1"/>
    <x v="2"/>
    <n v="3"/>
    <x v="0"/>
    <n v="3708"/>
    <n v="2104"/>
    <n v="2"/>
    <s v="Y"/>
    <x v="1"/>
    <n v="14"/>
    <x v="0"/>
    <n v="3"/>
    <n v="80"/>
    <x v="0"/>
    <n v="9"/>
    <x v="3"/>
    <x v="1"/>
    <n v="5"/>
    <n v="2"/>
    <x v="1"/>
    <n v="4"/>
  </r>
  <r>
    <n v="47"/>
    <x v="1"/>
    <x v="1"/>
    <n v="217"/>
    <x v="0"/>
    <x v="3"/>
    <x v="3"/>
    <s v="Medical"/>
    <n v="1"/>
    <n v="746"/>
    <n v="4"/>
    <x v="0"/>
    <n v="49"/>
    <x v="0"/>
    <n v="4"/>
    <x v="0"/>
    <n v="3"/>
    <x v="2"/>
    <n v="13770"/>
    <n v="10225"/>
    <n v="9"/>
    <s v="Y"/>
    <x v="0"/>
    <n v="12"/>
    <x v="0"/>
    <n v="4"/>
    <n v="80"/>
    <x v="3"/>
    <n v="28"/>
    <x v="2"/>
    <x v="2"/>
    <n v="22"/>
    <n v="2"/>
    <x v="14"/>
    <n v="13"/>
  </r>
  <r>
    <n v="30"/>
    <x v="1"/>
    <x v="0"/>
    <n v="501"/>
    <x v="0"/>
    <x v="6"/>
    <x v="4"/>
    <s v="Marketing"/>
    <n v="1"/>
    <n v="747"/>
    <n v="3"/>
    <x v="1"/>
    <n v="99"/>
    <x v="0"/>
    <n v="2"/>
    <x v="0"/>
    <n v="4"/>
    <x v="2"/>
    <n v="5304"/>
    <n v="25275"/>
    <n v="7"/>
    <s v="Y"/>
    <x v="1"/>
    <n v="23"/>
    <x v="1"/>
    <n v="4"/>
    <n v="80"/>
    <x v="1"/>
    <n v="10"/>
    <x v="2"/>
    <x v="2"/>
    <n v="8"/>
    <n v="7"/>
    <x v="4"/>
    <n v="7"/>
  </r>
  <r>
    <n v="29"/>
    <x v="1"/>
    <x v="0"/>
    <n v="1396"/>
    <x v="0"/>
    <x v="17"/>
    <x v="3"/>
    <s v="Life Sciences"/>
    <n v="1"/>
    <n v="749"/>
    <n v="3"/>
    <x v="1"/>
    <n v="99"/>
    <x v="0"/>
    <n v="1"/>
    <x v="6"/>
    <n v="3"/>
    <x v="0"/>
    <n v="2642"/>
    <n v="2755"/>
    <n v="1"/>
    <s v="Y"/>
    <x v="1"/>
    <n v="11"/>
    <x v="0"/>
    <n v="3"/>
    <n v="80"/>
    <x v="0"/>
    <n v="1"/>
    <x v="6"/>
    <x v="1"/>
    <n v="1"/>
    <n v="0"/>
    <x v="0"/>
    <n v="0"/>
  </r>
  <r>
    <n v="42"/>
    <x v="0"/>
    <x v="1"/>
    <n v="933"/>
    <x v="1"/>
    <x v="10"/>
    <x v="3"/>
    <s v="Medical"/>
    <n v="1"/>
    <n v="752"/>
    <n v="3"/>
    <x v="1"/>
    <n v="57"/>
    <x v="2"/>
    <n v="1"/>
    <x v="1"/>
    <n v="3"/>
    <x v="2"/>
    <n v="2759"/>
    <n v="20366"/>
    <n v="6"/>
    <s v="Y"/>
    <x v="0"/>
    <n v="12"/>
    <x v="0"/>
    <n v="4"/>
    <n v="80"/>
    <x v="0"/>
    <n v="7"/>
    <x v="2"/>
    <x v="1"/>
    <n v="2"/>
    <n v="2"/>
    <x v="3"/>
    <n v="2"/>
  </r>
  <r>
    <n v="43"/>
    <x v="1"/>
    <x v="1"/>
    <n v="775"/>
    <x v="0"/>
    <x v="8"/>
    <x v="3"/>
    <s v="Life Sciences"/>
    <n v="1"/>
    <n v="754"/>
    <n v="4"/>
    <x v="1"/>
    <n v="47"/>
    <x v="1"/>
    <n v="2"/>
    <x v="0"/>
    <n v="4"/>
    <x v="1"/>
    <n v="6804"/>
    <n v="23683"/>
    <n v="3"/>
    <s v="Y"/>
    <x v="1"/>
    <n v="18"/>
    <x v="0"/>
    <n v="3"/>
    <n v="80"/>
    <x v="1"/>
    <n v="7"/>
    <x v="3"/>
    <x v="1"/>
    <n v="2"/>
    <n v="2"/>
    <x v="3"/>
    <n v="2"/>
  </r>
  <r>
    <n v="34"/>
    <x v="1"/>
    <x v="0"/>
    <n v="970"/>
    <x v="1"/>
    <x v="1"/>
    <x v="0"/>
    <s v="Medical"/>
    <n v="1"/>
    <n v="757"/>
    <n v="2"/>
    <x v="0"/>
    <n v="96"/>
    <x v="0"/>
    <n v="2"/>
    <x v="4"/>
    <n v="3"/>
    <x v="0"/>
    <n v="6142"/>
    <n v="7360"/>
    <n v="3"/>
    <s v="Y"/>
    <x v="1"/>
    <n v="11"/>
    <x v="0"/>
    <n v="4"/>
    <n v="80"/>
    <x v="0"/>
    <n v="10"/>
    <x v="2"/>
    <x v="1"/>
    <n v="5"/>
    <n v="1"/>
    <x v="5"/>
    <n v="3"/>
  </r>
  <r>
    <n v="23"/>
    <x v="1"/>
    <x v="0"/>
    <n v="650"/>
    <x v="1"/>
    <x v="14"/>
    <x v="1"/>
    <s v="Medical"/>
    <n v="1"/>
    <n v="758"/>
    <n v="2"/>
    <x v="1"/>
    <n v="37"/>
    <x v="0"/>
    <n v="1"/>
    <x v="2"/>
    <n v="1"/>
    <x v="1"/>
    <n v="2500"/>
    <n v="4344"/>
    <n v="1"/>
    <s v="Y"/>
    <x v="1"/>
    <n v="14"/>
    <x v="0"/>
    <n v="4"/>
    <n v="80"/>
    <x v="1"/>
    <n v="5"/>
    <x v="2"/>
    <x v="3"/>
    <n v="4"/>
    <n v="3"/>
    <x v="0"/>
    <n v="2"/>
  </r>
  <r>
    <n v="39"/>
    <x v="1"/>
    <x v="0"/>
    <n v="141"/>
    <x v="2"/>
    <x v="3"/>
    <x v="3"/>
    <s v="Human Resources"/>
    <n v="1"/>
    <n v="760"/>
    <n v="3"/>
    <x v="0"/>
    <n v="44"/>
    <x v="2"/>
    <n v="2"/>
    <x v="8"/>
    <n v="2"/>
    <x v="1"/>
    <n v="6389"/>
    <n v="18767"/>
    <n v="9"/>
    <s v="Y"/>
    <x v="1"/>
    <n v="15"/>
    <x v="0"/>
    <n v="3"/>
    <n v="80"/>
    <x v="1"/>
    <n v="12"/>
    <x v="1"/>
    <x v="0"/>
    <n v="8"/>
    <n v="3"/>
    <x v="2"/>
    <n v="6"/>
  </r>
  <r>
    <n v="56"/>
    <x v="1"/>
    <x v="0"/>
    <n v="832"/>
    <x v="1"/>
    <x v="14"/>
    <x v="3"/>
    <s v="Medical"/>
    <n v="1"/>
    <n v="762"/>
    <n v="3"/>
    <x v="1"/>
    <n v="81"/>
    <x v="0"/>
    <n v="4"/>
    <x v="4"/>
    <n v="4"/>
    <x v="1"/>
    <n v="11103"/>
    <n v="20420"/>
    <n v="7"/>
    <s v="Y"/>
    <x v="1"/>
    <n v="11"/>
    <x v="0"/>
    <n v="3"/>
    <n v="80"/>
    <x v="0"/>
    <n v="30"/>
    <x v="4"/>
    <x v="2"/>
    <n v="10"/>
    <n v="7"/>
    <x v="1"/>
    <n v="1"/>
  </r>
  <r>
    <n v="40"/>
    <x v="1"/>
    <x v="0"/>
    <n v="804"/>
    <x v="1"/>
    <x v="2"/>
    <x v="1"/>
    <s v="Medical"/>
    <n v="1"/>
    <n v="763"/>
    <n v="4"/>
    <x v="0"/>
    <n v="86"/>
    <x v="1"/>
    <n v="1"/>
    <x v="1"/>
    <n v="4"/>
    <x v="0"/>
    <n v="2342"/>
    <n v="22929"/>
    <n v="0"/>
    <s v="Y"/>
    <x v="0"/>
    <n v="20"/>
    <x v="1"/>
    <n v="4"/>
    <n v="80"/>
    <x v="0"/>
    <n v="5"/>
    <x v="2"/>
    <x v="2"/>
    <n v="4"/>
    <n v="2"/>
    <x v="3"/>
    <n v="3"/>
  </r>
  <r>
    <n v="27"/>
    <x v="1"/>
    <x v="0"/>
    <n v="975"/>
    <x v="1"/>
    <x v="15"/>
    <x v="3"/>
    <s v="Medical"/>
    <n v="1"/>
    <n v="764"/>
    <n v="4"/>
    <x v="0"/>
    <n v="55"/>
    <x v="1"/>
    <n v="2"/>
    <x v="4"/>
    <n v="1"/>
    <x v="0"/>
    <n v="6811"/>
    <n v="23398"/>
    <n v="8"/>
    <s v="Y"/>
    <x v="1"/>
    <n v="19"/>
    <x v="0"/>
    <n v="1"/>
    <n v="80"/>
    <x v="0"/>
    <n v="9"/>
    <x v="2"/>
    <x v="0"/>
    <n v="7"/>
    <n v="6"/>
    <x v="0"/>
    <n v="7"/>
  </r>
  <r>
    <n v="29"/>
    <x v="1"/>
    <x v="0"/>
    <n v="1090"/>
    <x v="0"/>
    <x v="17"/>
    <x v="3"/>
    <s v="Marketing"/>
    <n v="1"/>
    <n v="766"/>
    <n v="4"/>
    <x v="1"/>
    <n v="83"/>
    <x v="0"/>
    <n v="1"/>
    <x v="6"/>
    <n v="2"/>
    <x v="2"/>
    <n v="2297"/>
    <n v="17967"/>
    <n v="1"/>
    <s v="Y"/>
    <x v="1"/>
    <n v="14"/>
    <x v="0"/>
    <n v="4"/>
    <n v="80"/>
    <x v="3"/>
    <n v="2"/>
    <x v="2"/>
    <x v="1"/>
    <n v="2"/>
    <n v="2"/>
    <x v="3"/>
    <n v="2"/>
  </r>
  <r>
    <n v="53"/>
    <x v="1"/>
    <x v="0"/>
    <n v="346"/>
    <x v="1"/>
    <x v="16"/>
    <x v="3"/>
    <s v="Life Sciences"/>
    <n v="1"/>
    <n v="769"/>
    <n v="4"/>
    <x v="1"/>
    <n v="86"/>
    <x v="0"/>
    <n v="2"/>
    <x v="2"/>
    <n v="4"/>
    <x v="0"/>
    <n v="2450"/>
    <n v="10919"/>
    <n v="2"/>
    <s v="Y"/>
    <x v="1"/>
    <n v="17"/>
    <x v="0"/>
    <n v="4"/>
    <n v="80"/>
    <x v="0"/>
    <n v="19"/>
    <x v="5"/>
    <x v="1"/>
    <n v="2"/>
    <n v="2"/>
    <x v="3"/>
    <n v="2"/>
  </r>
  <r>
    <n v="35"/>
    <x v="1"/>
    <x v="2"/>
    <n v="1225"/>
    <x v="1"/>
    <x v="2"/>
    <x v="2"/>
    <s v="Life Sciences"/>
    <n v="1"/>
    <n v="771"/>
    <n v="4"/>
    <x v="0"/>
    <n v="61"/>
    <x v="0"/>
    <n v="2"/>
    <x v="4"/>
    <n v="1"/>
    <x v="2"/>
    <n v="5093"/>
    <n v="4761"/>
    <n v="2"/>
    <s v="Y"/>
    <x v="1"/>
    <n v="11"/>
    <x v="0"/>
    <n v="1"/>
    <n v="80"/>
    <x v="1"/>
    <n v="16"/>
    <x v="2"/>
    <x v="3"/>
    <n v="1"/>
    <n v="0"/>
    <x v="0"/>
    <n v="0"/>
  </r>
  <r>
    <n v="32"/>
    <x v="1"/>
    <x v="1"/>
    <n v="430"/>
    <x v="1"/>
    <x v="4"/>
    <x v="2"/>
    <s v="Life Sciences"/>
    <n v="1"/>
    <n v="772"/>
    <n v="1"/>
    <x v="1"/>
    <n v="80"/>
    <x v="0"/>
    <n v="2"/>
    <x v="2"/>
    <n v="4"/>
    <x v="1"/>
    <n v="5309"/>
    <n v="21146"/>
    <n v="1"/>
    <s v="Y"/>
    <x v="1"/>
    <n v="15"/>
    <x v="0"/>
    <n v="4"/>
    <n v="80"/>
    <x v="3"/>
    <n v="10"/>
    <x v="2"/>
    <x v="1"/>
    <n v="10"/>
    <n v="8"/>
    <x v="5"/>
    <n v="7"/>
  </r>
  <r>
    <n v="38"/>
    <x v="1"/>
    <x v="0"/>
    <n v="268"/>
    <x v="1"/>
    <x v="2"/>
    <x v="4"/>
    <s v="Medical"/>
    <n v="1"/>
    <n v="773"/>
    <n v="4"/>
    <x v="1"/>
    <n v="92"/>
    <x v="0"/>
    <n v="1"/>
    <x v="1"/>
    <n v="3"/>
    <x v="1"/>
    <n v="3057"/>
    <n v="20471"/>
    <n v="6"/>
    <s v="Y"/>
    <x v="0"/>
    <n v="13"/>
    <x v="0"/>
    <n v="2"/>
    <n v="80"/>
    <x v="1"/>
    <n v="6"/>
    <x v="0"/>
    <x v="0"/>
    <n v="1"/>
    <n v="0"/>
    <x v="0"/>
    <n v="1"/>
  </r>
  <r>
    <n v="34"/>
    <x v="1"/>
    <x v="0"/>
    <n v="167"/>
    <x v="1"/>
    <x v="1"/>
    <x v="4"/>
    <s v="Life Sciences"/>
    <n v="1"/>
    <n v="775"/>
    <n v="2"/>
    <x v="0"/>
    <n v="32"/>
    <x v="0"/>
    <n v="2"/>
    <x v="3"/>
    <n v="1"/>
    <x v="2"/>
    <n v="5121"/>
    <n v="4187"/>
    <n v="3"/>
    <s v="Y"/>
    <x v="1"/>
    <n v="14"/>
    <x v="0"/>
    <n v="3"/>
    <n v="80"/>
    <x v="1"/>
    <n v="7"/>
    <x v="1"/>
    <x v="1"/>
    <n v="0"/>
    <n v="0"/>
    <x v="0"/>
    <n v="0"/>
  </r>
  <r>
    <n v="52"/>
    <x v="1"/>
    <x v="0"/>
    <n v="621"/>
    <x v="0"/>
    <x v="3"/>
    <x v="2"/>
    <s v="Marketing"/>
    <n v="1"/>
    <n v="776"/>
    <n v="3"/>
    <x v="1"/>
    <n v="31"/>
    <x v="1"/>
    <n v="4"/>
    <x v="5"/>
    <n v="1"/>
    <x v="1"/>
    <n v="16856"/>
    <n v="10084"/>
    <n v="1"/>
    <s v="Y"/>
    <x v="1"/>
    <n v="11"/>
    <x v="0"/>
    <n v="1"/>
    <n v="80"/>
    <x v="0"/>
    <n v="34"/>
    <x v="1"/>
    <x v="3"/>
    <n v="34"/>
    <n v="6"/>
    <x v="1"/>
    <n v="16"/>
  </r>
  <r>
    <n v="33"/>
    <x v="0"/>
    <x v="0"/>
    <n v="527"/>
    <x v="1"/>
    <x v="0"/>
    <x v="2"/>
    <s v="Other"/>
    <n v="1"/>
    <n v="780"/>
    <n v="4"/>
    <x v="1"/>
    <n v="63"/>
    <x v="0"/>
    <n v="1"/>
    <x v="1"/>
    <n v="4"/>
    <x v="0"/>
    <n v="2686"/>
    <n v="5207"/>
    <n v="1"/>
    <s v="Y"/>
    <x v="0"/>
    <n v="13"/>
    <x v="0"/>
    <n v="3"/>
    <n v="80"/>
    <x v="0"/>
    <n v="10"/>
    <x v="2"/>
    <x v="2"/>
    <n v="10"/>
    <n v="9"/>
    <x v="4"/>
    <n v="8"/>
  </r>
  <r>
    <n v="25"/>
    <x v="1"/>
    <x v="0"/>
    <n v="883"/>
    <x v="0"/>
    <x v="9"/>
    <x v="1"/>
    <s v="Medical"/>
    <n v="1"/>
    <n v="781"/>
    <n v="3"/>
    <x v="0"/>
    <n v="32"/>
    <x v="0"/>
    <n v="2"/>
    <x v="0"/>
    <n v="4"/>
    <x v="0"/>
    <n v="6180"/>
    <n v="22807"/>
    <n v="1"/>
    <s v="Y"/>
    <x v="1"/>
    <n v="23"/>
    <x v="1"/>
    <n v="2"/>
    <n v="80"/>
    <x v="0"/>
    <n v="6"/>
    <x v="3"/>
    <x v="2"/>
    <n v="6"/>
    <n v="5"/>
    <x v="1"/>
    <n v="4"/>
  </r>
  <r>
    <n v="45"/>
    <x v="1"/>
    <x v="0"/>
    <n v="954"/>
    <x v="0"/>
    <x v="2"/>
    <x v="0"/>
    <s v="Technical Degree"/>
    <n v="1"/>
    <n v="783"/>
    <n v="2"/>
    <x v="1"/>
    <n v="46"/>
    <x v="3"/>
    <n v="2"/>
    <x v="6"/>
    <n v="3"/>
    <x v="0"/>
    <n v="6632"/>
    <n v="12388"/>
    <n v="0"/>
    <s v="Y"/>
    <x v="1"/>
    <n v="13"/>
    <x v="0"/>
    <n v="1"/>
    <n v="80"/>
    <x v="0"/>
    <n v="9"/>
    <x v="1"/>
    <x v="1"/>
    <n v="8"/>
    <n v="7"/>
    <x v="2"/>
    <n v="1"/>
  </r>
  <r>
    <n v="23"/>
    <x v="1"/>
    <x v="0"/>
    <n v="310"/>
    <x v="1"/>
    <x v="17"/>
    <x v="1"/>
    <s v="Medical"/>
    <n v="1"/>
    <n v="784"/>
    <n v="1"/>
    <x v="1"/>
    <n v="79"/>
    <x v="2"/>
    <n v="1"/>
    <x v="1"/>
    <n v="3"/>
    <x v="0"/>
    <n v="3505"/>
    <n v="19630"/>
    <n v="1"/>
    <s v="Y"/>
    <x v="1"/>
    <n v="18"/>
    <x v="0"/>
    <n v="4"/>
    <n v="80"/>
    <x v="0"/>
    <n v="2"/>
    <x v="1"/>
    <x v="1"/>
    <n v="2"/>
    <n v="2"/>
    <x v="0"/>
    <n v="2"/>
  </r>
  <r>
    <n v="47"/>
    <x v="0"/>
    <x v="1"/>
    <n v="719"/>
    <x v="0"/>
    <x v="6"/>
    <x v="0"/>
    <s v="Life Sciences"/>
    <n v="1"/>
    <n v="785"/>
    <n v="2"/>
    <x v="0"/>
    <n v="77"/>
    <x v="2"/>
    <n v="2"/>
    <x v="0"/>
    <n v="3"/>
    <x v="0"/>
    <n v="6397"/>
    <n v="10339"/>
    <n v="4"/>
    <s v="Y"/>
    <x v="0"/>
    <n v="12"/>
    <x v="0"/>
    <n v="4"/>
    <n v="80"/>
    <x v="0"/>
    <n v="8"/>
    <x v="2"/>
    <x v="1"/>
    <n v="5"/>
    <n v="4"/>
    <x v="1"/>
    <n v="3"/>
  </r>
  <r>
    <n v="34"/>
    <x v="1"/>
    <x v="0"/>
    <n v="304"/>
    <x v="0"/>
    <x v="2"/>
    <x v="3"/>
    <s v="Other"/>
    <n v="1"/>
    <n v="786"/>
    <n v="4"/>
    <x v="1"/>
    <n v="60"/>
    <x v="0"/>
    <n v="2"/>
    <x v="0"/>
    <n v="4"/>
    <x v="0"/>
    <n v="6274"/>
    <n v="18686"/>
    <n v="1"/>
    <s v="Y"/>
    <x v="1"/>
    <n v="22"/>
    <x v="1"/>
    <n v="3"/>
    <n v="80"/>
    <x v="0"/>
    <n v="6"/>
    <x v="3"/>
    <x v="1"/>
    <n v="6"/>
    <n v="5"/>
    <x v="1"/>
    <n v="4"/>
  </r>
  <r>
    <n v="55"/>
    <x v="0"/>
    <x v="0"/>
    <n v="725"/>
    <x v="1"/>
    <x v="2"/>
    <x v="3"/>
    <s v="Medical"/>
    <n v="1"/>
    <n v="787"/>
    <n v="4"/>
    <x v="1"/>
    <n v="78"/>
    <x v="0"/>
    <n v="5"/>
    <x v="5"/>
    <n v="1"/>
    <x v="1"/>
    <n v="19859"/>
    <n v="21199"/>
    <n v="5"/>
    <s v="Y"/>
    <x v="0"/>
    <n v="13"/>
    <x v="0"/>
    <n v="4"/>
    <n v="80"/>
    <x v="1"/>
    <n v="24"/>
    <x v="2"/>
    <x v="1"/>
    <n v="5"/>
    <n v="2"/>
    <x v="1"/>
    <n v="4"/>
  </r>
  <r>
    <n v="36"/>
    <x v="1"/>
    <x v="2"/>
    <n v="1434"/>
    <x v="0"/>
    <x v="1"/>
    <x v="2"/>
    <s v="Life Sciences"/>
    <n v="1"/>
    <n v="789"/>
    <n v="1"/>
    <x v="1"/>
    <n v="76"/>
    <x v="1"/>
    <n v="3"/>
    <x v="0"/>
    <n v="1"/>
    <x v="0"/>
    <n v="7587"/>
    <n v="14229"/>
    <n v="1"/>
    <s v="Y"/>
    <x v="1"/>
    <n v="15"/>
    <x v="0"/>
    <n v="2"/>
    <n v="80"/>
    <x v="0"/>
    <n v="10"/>
    <x v="4"/>
    <x v="1"/>
    <n v="10"/>
    <n v="7"/>
    <x v="0"/>
    <n v="9"/>
  </r>
  <r>
    <n v="52"/>
    <x v="1"/>
    <x v="2"/>
    <n v="715"/>
    <x v="1"/>
    <x v="10"/>
    <x v="2"/>
    <s v="Medical"/>
    <n v="1"/>
    <n v="791"/>
    <n v="4"/>
    <x v="1"/>
    <n v="41"/>
    <x v="0"/>
    <n v="1"/>
    <x v="1"/>
    <n v="4"/>
    <x v="1"/>
    <n v="4258"/>
    <n v="26589"/>
    <n v="0"/>
    <s v="Y"/>
    <x v="1"/>
    <n v="18"/>
    <x v="0"/>
    <n v="1"/>
    <n v="80"/>
    <x v="1"/>
    <n v="5"/>
    <x v="1"/>
    <x v="1"/>
    <n v="4"/>
    <n v="3"/>
    <x v="1"/>
    <n v="2"/>
  </r>
  <r>
    <n v="26"/>
    <x v="1"/>
    <x v="1"/>
    <n v="575"/>
    <x v="1"/>
    <x v="0"/>
    <x v="0"/>
    <s v="Life Sciences"/>
    <n v="1"/>
    <n v="792"/>
    <n v="1"/>
    <x v="0"/>
    <n v="71"/>
    <x v="3"/>
    <n v="1"/>
    <x v="2"/>
    <n v="4"/>
    <x v="2"/>
    <n v="4364"/>
    <n v="5288"/>
    <n v="3"/>
    <s v="Y"/>
    <x v="1"/>
    <n v="14"/>
    <x v="0"/>
    <n v="1"/>
    <n v="80"/>
    <x v="1"/>
    <n v="5"/>
    <x v="2"/>
    <x v="1"/>
    <n v="2"/>
    <n v="2"/>
    <x v="3"/>
    <n v="0"/>
  </r>
  <r>
    <n v="29"/>
    <x v="1"/>
    <x v="0"/>
    <n v="657"/>
    <x v="1"/>
    <x v="6"/>
    <x v="3"/>
    <s v="Medical"/>
    <n v="1"/>
    <n v="793"/>
    <n v="2"/>
    <x v="0"/>
    <n v="66"/>
    <x v="0"/>
    <n v="2"/>
    <x v="4"/>
    <n v="3"/>
    <x v="1"/>
    <n v="4335"/>
    <n v="25549"/>
    <n v="4"/>
    <s v="Y"/>
    <x v="1"/>
    <n v="12"/>
    <x v="0"/>
    <n v="1"/>
    <n v="80"/>
    <x v="1"/>
    <n v="11"/>
    <x v="1"/>
    <x v="2"/>
    <n v="8"/>
    <n v="7"/>
    <x v="1"/>
    <n v="1"/>
  </r>
  <r>
    <n v="26"/>
    <x v="0"/>
    <x v="0"/>
    <n v="1146"/>
    <x v="0"/>
    <x v="1"/>
    <x v="3"/>
    <s v="Technical Degree"/>
    <n v="1"/>
    <n v="796"/>
    <n v="4"/>
    <x v="1"/>
    <n v="38"/>
    <x v="1"/>
    <n v="2"/>
    <x v="0"/>
    <n v="1"/>
    <x v="0"/>
    <n v="5326"/>
    <n v="3064"/>
    <n v="6"/>
    <s v="Y"/>
    <x v="1"/>
    <n v="17"/>
    <x v="0"/>
    <n v="3"/>
    <n v="80"/>
    <x v="0"/>
    <n v="6"/>
    <x v="2"/>
    <x v="2"/>
    <n v="4"/>
    <n v="3"/>
    <x v="1"/>
    <n v="2"/>
  </r>
  <r>
    <n v="34"/>
    <x v="1"/>
    <x v="0"/>
    <n v="182"/>
    <x v="1"/>
    <x v="0"/>
    <x v="2"/>
    <s v="Life Sciences"/>
    <n v="1"/>
    <n v="797"/>
    <n v="2"/>
    <x v="0"/>
    <n v="72"/>
    <x v="2"/>
    <n v="1"/>
    <x v="1"/>
    <n v="4"/>
    <x v="0"/>
    <n v="3280"/>
    <n v="13551"/>
    <n v="2"/>
    <s v="Y"/>
    <x v="1"/>
    <n v="16"/>
    <x v="0"/>
    <n v="3"/>
    <n v="80"/>
    <x v="0"/>
    <n v="10"/>
    <x v="2"/>
    <x v="1"/>
    <n v="4"/>
    <n v="2"/>
    <x v="1"/>
    <n v="3"/>
  </r>
  <r>
    <n v="54"/>
    <x v="1"/>
    <x v="0"/>
    <n v="376"/>
    <x v="1"/>
    <x v="10"/>
    <x v="2"/>
    <s v="Medical"/>
    <n v="1"/>
    <n v="799"/>
    <n v="4"/>
    <x v="0"/>
    <n v="95"/>
    <x v="0"/>
    <n v="2"/>
    <x v="3"/>
    <n v="1"/>
    <x v="2"/>
    <n v="5485"/>
    <n v="22670"/>
    <n v="9"/>
    <s v="Y"/>
    <x v="0"/>
    <n v="11"/>
    <x v="0"/>
    <n v="2"/>
    <n v="80"/>
    <x v="3"/>
    <n v="9"/>
    <x v="5"/>
    <x v="1"/>
    <n v="5"/>
    <n v="3"/>
    <x v="1"/>
    <n v="4"/>
  </r>
  <r>
    <n v="27"/>
    <x v="1"/>
    <x v="1"/>
    <n v="829"/>
    <x v="0"/>
    <x v="1"/>
    <x v="1"/>
    <s v="Marketing"/>
    <n v="1"/>
    <n v="800"/>
    <n v="3"/>
    <x v="1"/>
    <n v="84"/>
    <x v="0"/>
    <n v="2"/>
    <x v="0"/>
    <n v="4"/>
    <x v="1"/>
    <n v="4342"/>
    <n v="24008"/>
    <n v="0"/>
    <s v="Y"/>
    <x v="1"/>
    <n v="19"/>
    <x v="0"/>
    <n v="2"/>
    <n v="80"/>
    <x v="1"/>
    <n v="5"/>
    <x v="1"/>
    <x v="1"/>
    <n v="4"/>
    <n v="2"/>
    <x v="1"/>
    <n v="1"/>
  </r>
  <r>
    <n v="37"/>
    <x v="1"/>
    <x v="0"/>
    <n v="571"/>
    <x v="1"/>
    <x v="17"/>
    <x v="1"/>
    <s v="Life Sciences"/>
    <n v="1"/>
    <n v="802"/>
    <n v="4"/>
    <x v="0"/>
    <n v="82"/>
    <x v="0"/>
    <n v="1"/>
    <x v="1"/>
    <n v="1"/>
    <x v="2"/>
    <n v="2782"/>
    <n v="19905"/>
    <n v="0"/>
    <s v="Y"/>
    <x v="0"/>
    <n v="13"/>
    <x v="0"/>
    <n v="2"/>
    <n v="80"/>
    <x v="3"/>
    <n v="6"/>
    <x v="1"/>
    <x v="2"/>
    <n v="5"/>
    <n v="3"/>
    <x v="5"/>
    <n v="3"/>
  </r>
  <r>
    <n v="38"/>
    <x v="1"/>
    <x v="1"/>
    <n v="240"/>
    <x v="1"/>
    <x v="2"/>
    <x v="2"/>
    <s v="Life Sciences"/>
    <n v="1"/>
    <n v="803"/>
    <n v="1"/>
    <x v="0"/>
    <n v="75"/>
    <x v="2"/>
    <n v="2"/>
    <x v="3"/>
    <n v="1"/>
    <x v="0"/>
    <n v="5980"/>
    <n v="26085"/>
    <n v="6"/>
    <s v="Y"/>
    <x v="0"/>
    <n v="12"/>
    <x v="0"/>
    <n v="4"/>
    <n v="80"/>
    <x v="0"/>
    <n v="17"/>
    <x v="2"/>
    <x v="1"/>
    <n v="15"/>
    <n v="7"/>
    <x v="5"/>
    <n v="12"/>
  </r>
  <r>
    <n v="34"/>
    <x v="1"/>
    <x v="0"/>
    <n v="121"/>
    <x v="1"/>
    <x v="2"/>
    <x v="2"/>
    <s v="Medical"/>
    <n v="1"/>
    <n v="804"/>
    <n v="3"/>
    <x v="0"/>
    <n v="86"/>
    <x v="1"/>
    <n v="1"/>
    <x v="1"/>
    <n v="1"/>
    <x v="0"/>
    <n v="4381"/>
    <n v="7530"/>
    <n v="1"/>
    <s v="Y"/>
    <x v="1"/>
    <n v="11"/>
    <x v="0"/>
    <n v="3"/>
    <n v="80"/>
    <x v="0"/>
    <n v="6"/>
    <x v="1"/>
    <x v="1"/>
    <n v="6"/>
    <n v="5"/>
    <x v="1"/>
    <n v="3"/>
  </r>
  <r>
    <n v="35"/>
    <x v="1"/>
    <x v="0"/>
    <n v="384"/>
    <x v="0"/>
    <x v="1"/>
    <x v="2"/>
    <s v="Life Sciences"/>
    <n v="1"/>
    <n v="805"/>
    <n v="1"/>
    <x v="0"/>
    <n v="72"/>
    <x v="0"/>
    <n v="1"/>
    <x v="6"/>
    <n v="4"/>
    <x v="1"/>
    <n v="2572"/>
    <n v="20317"/>
    <n v="1"/>
    <s v="Y"/>
    <x v="1"/>
    <n v="16"/>
    <x v="0"/>
    <n v="2"/>
    <n v="80"/>
    <x v="1"/>
    <n v="3"/>
    <x v="4"/>
    <x v="2"/>
    <n v="3"/>
    <n v="2"/>
    <x v="0"/>
    <n v="2"/>
  </r>
  <r>
    <n v="30"/>
    <x v="1"/>
    <x v="0"/>
    <n v="921"/>
    <x v="1"/>
    <x v="0"/>
    <x v="3"/>
    <s v="Life Sciences"/>
    <n v="1"/>
    <n v="806"/>
    <n v="4"/>
    <x v="1"/>
    <n v="38"/>
    <x v="3"/>
    <n v="1"/>
    <x v="2"/>
    <n v="3"/>
    <x v="1"/>
    <n v="3833"/>
    <n v="24375"/>
    <n v="3"/>
    <s v="Y"/>
    <x v="1"/>
    <n v="21"/>
    <x v="1"/>
    <n v="3"/>
    <n v="80"/>
    <x v="3"/>
    <n v="7"/>
    <x v="2"/>
    <x v="1"/>
    <n v="2"/>
    <n v="2"/>
    <x v="0"/>
    <n v="2"/>
  </r>
  <r>
    <n v="40"/>
    <x v="1"/>
    <x v="1"/>
    <n v="791"/>
    <x v="1"/>
    <x v="2"/>
    <x v="0"/>
    <s v="Medical"/>
    <n v="1"/>
    <n v="807"/>
    <n v="3"/>
    <x v="0"/>
    <n v="38"/>
    <x v="2"/>
    <n v="2"/>
    <x v="4"/>
    <n v="2"/>
    <x v="1"/>
    <n v="4244"/>
    <n v="9931"/>
    <n v="1"/>
    <s v="Y"/>
    <x v="1"/>
    <n v="24"/>
    <x v="1"/>
    <n v="4"/>
    <n v="80"/>
    <x v="1"/>
    <n v="8"/>
    <x v="2"/>
    <x v="1"/>
    <n v="8"/>
    <n v="7"/>
    <x v="2"/>
    <n v="7"/>
  </r>
  <r>
    <n v="34"/>
    <x v="1"/>
    <x v="0"/>
    <n v="1111"/>
    <x v="0"/>
    <x v="1"/>
    <x v="0"/>
    <s v="Life Sciences"/>
    <n v="1"/>
    <n v="808"/>
    <n v="3"/>
    <x v="0"/>
    <n v="93"/>
    <x v="0"/>
    <n v="2"/>
    <x v="0"/>
    <n v="1"/>
    <x v="1"/>
    <n v="6500"/>
    <n v="13305"/>
    <n v="5"/>
    <s v="Y"/>
    <x v="1"/>
    <n v="17"/>
    <x v="0"/>
    <n v="2"/>
    <n v="80"/>
    <x v="1"/>
    <n v="6"/>
    <x v="4"/>
    <x v="1"/>
    <n v="3"/>
    <n v="2"/>
    <x v="1"/>
    <n v="2"/>
  </r>
  <r>
    <n v="42"/>
    <x v="1"/>
    <x v="1"/>
    <n v="570"/>
    <x v="1"/>
    <x v="1"/>
    <x v="3"/>
    <s v="Life Sciences"/>
    <n v="1"/>
    <n v="809"/>
    <n v="2"/>
    <x v="1"/>
    <n v="66"/>
    <x v="0"/>
    <n v="5"/>
    <x v="5"/>
    <n v="4"/>
    <x v="2"/>
    <n v="18430"/>
    <n v="16225"/>
    <n v="1"/>
    <s v="Y"/>
    <x v="1"/>
    <n v="13"/>
    <x v="0"/>
    <n v="2"/>
    <n v="80"/>
    <x v="1"/>
    <n v="24"/>
    <x v="5"/>
    <x v="2"/>
    <n v="24"/>
    <n v="7"/>
    <x v="15"/>
    <n v="9"/>
  </r>
  <r>
    <n v="23"/>
    <x v="0"/>
    <x v="0"/>
    <n v="1243"/>
    <x v="1"/>
    <x v="16"/>
    <x v="3"/>
    <s v="Life Sciences"/>
    <n v="1"/>
    <n v="811"/>
    <n v="3"/>
    <x v="1"/>
    <n v="63"/>
    <x v="2"/>
    <n v="1"/>
    <x v="2"/>
    <n v="1"/>
    <x v="1"/>
    <n v="1601"/>
    <n v="3445"/>
    <n v="1"/>
    <s v="Y"/>
    <x v="0"/>
    <n v="21"/>
    <x v="1"/>
    <n v="3"/>
    <n v="80"/>
    <x v="3"/>
    <n v="1"/>
    <x v="2"/>
    <x v="1"/>
    <n v="0"/>
    <n v="0"/>
    <x v="0"/>
    <n v="0"/>
  </r>
  <r>
    <n v="24"/>
    <x v="1"/>
    <x v="2"/>
    <n v="1092"/>
    <x v="1"/>
    <x v="14"/>
    <x v="3"/>
    <s v="Life Sciences"/>
    <n v="1"/>
    <n v="812"/>
    <n v="3"/>
    <x v="1"/>
    <n v="60"/>
    <x v="1"/>
    <n v="1"/>
    <x v="2"/>
    <n v="2"/>
    <x v="2"/>
    <n v="2694"/>
    <n v="26551"/>
    <n v="1"/>
    <s v="Y"/>
    <x v="1"/>
    <n v="11"/>
    <x v="0"/>
    <n v="3"/>
    <n v="80"/>
    <x v="2"/>
    <n v="1"/>
    <x v="5"/>
    <x v="1"/>
    <n v="1"/>
    <n v="0"/>
    <x v="0"/>
    <n v="0"/>
  </r>
  <r>
    <n v="52"/>
    <x v="1"/>
    <x v="0"/>
    <n v="1325"/>
    <x v="1"/>
    <x v="13"/>
    <x v="2"/>
    <s v="Life Sciences"/>
    <n v="1"/>
    <n v="813"/>
    <n v="4"/>
    <x v="0"/>
    <n v="82"/>
    <x v="0"/>
    <n v="2"/>
    <x v="2"/>
    <n v="3"/>
    <x v="1"/>
    <n v="3149"/>
    <n v="21821"/>
    <n v="8"/>
    <s v="Y"/>
    <x v="1"/>
    <n v="20"/>
    <x v="1"/>
    <n v="2"/>
    <n v="80"/>
    <x v="1"/>
    <n v="9"/>
    <x v="1"/>
    <x v="1"/>
    <n v="5"/>
    <n v="2"/>
    <x v="1"/>
    <n v="4"/>
  </r>
  <r>
    <n v="50"/>
    <x v="1"/>
    <x v="0"/>
    <n v="691"/>
    <x v="1"/>
    <x v="2"/>
    <x v="3"/>
    <s v="Medical"/>
    <n v="1"/>
    <n v="815"/>
    <n v="3"/>
    <x v="1"/>
    <n v="64"/>
    <x v="0"/>
    <n v="4"/>
    <x v="7"/>
    <n v="3"/>
    <x v="1"/>
    <n v="17639"/>
    <n v="6881"/>
    <n v="5"/>
    <s v="Y"/>
    <x v="1"/>
    <n v="16"/>
    <x v="0"/>
    <n v="4"/>
    <n v="80"/>
    <x v="0"/>
    <n v="30"/>
    <x v="1"/>
    <x v="1"/>
    <n v="4"/>
    <n v="3"/>
    <x v="0"/>
    <n v="3"/>
  </r>
  <r>
    <n v="29"/>
    <x v="0"/>
    <x v="0"/>
    <n v="805"/>
    <x v="1"/>
    <x v="0"/>
    <x v="0"/>
    <s v="Life Sciences"/>
    <n v="1"/>
    <n v="816"/>
    <n v="2"/>
    <x v="0"/>
    <n v="36"/>
    <x v="1"/>
    <n v="1"/>
    <x v="2"/>
    <n v="1"/>
    <x v="1"/>
    <n v="2319"/>
    <n v="6689"/>
    <n v="1"/>
    <s v="Y"/>
    <x v="0"/>
    <n v="11"/>
    <x v="0"/>
    <n v="4"/>
    <n v="80"/>
    <x v="1"/>
    <n v="1"/>
    <x v="4"/>
    <x v="1"/>
    <n v="1"/>
    <n v="0"/>
    <x v="0"/>
    <n v="0"/>
  </r>
  <r>
    <n v="33"/>
    <x v="1"/>
    <x v="0"/>
    <n v="213"/>
    <x v="1"/>
    <x v="15"/>
    <x v="3"/>
    <s v="Medical"/>
    <n v="1"/>
    <n v="817"/>
    <n v="3"/>
    <x v="1"/>
    <n v="49"/>
    <x v="0"/>
    <n v="3"/>
    <x v="7"/>
    <n v="3"/>
    <x v="1"/>
    <n v="11691"/>
    <n v="25995"/>
    <n v="0"/>
    <s v="Y"/>
    <x v="1"/>
    <n v="11"/>
    <x v="0"/>
    <n v="4"/>
    <n v="80"/>
    <x v="0"/>
    <n v="14"/>
    <x v="1"/>
    <x v="3"/>
    <n v="13"/>
    <n v="9"/>
    <x v="2"/>
    <n v="7"/>
  </r>
  <r>
    <n v="33"/>
    <x v="0"/>
    <x v="0"/>
    <n v="118"/>
    <x v="0"/>
    <x v="7"/>
    <x v="3"/>
    <s v="Marketing"/>
    <n v="1"/>
    <n v="819"/>
    <n v="1"/>
    <x v="0"/>
    <n v="69"/>
    <x v="0"/>
    <n v="2"/>
    <x v="0"/>
    <n v="1"/>
    <x v="0"/>
    <n v="5324"/>
    <n v="26507"/>
    <n v="5"/>
    <s v="Y"/>
    <x v="1"/>
    <n v="15"/>
    <x v="0"/>
    <n v="3"/>
    <n v="80"/>
    <x v="0"/>
    <n v="6"/>
    <x v="1"/>
    <x v="1"/>
    <n v="3"/>
    <n v="2"/>
    <x v="0"/>
    <n v="2"/>
  </r>
  <r>
    <n v="47"/>
    <x v="1"/>
    <x v="0"/>
    <n v="202"/>
    <x v="1"/>
    <x v="2"/>
    <x v="0"/>
    <s v="Other"/>
    <n v="1"/>
    <n v="820"/>
    <n v="3"/>
    <x v="0"/>
    <n v="33"/>
    <x v="0"/>
    <n v="4"/>
    <x v="5"/>
    <n v="4"/>
    <x v="1"/>
    <n v="16752"/>
    <n v="12982"/>
    <n v="1"/>
    <s v="Y"/>
    <x v="0"/>
    <n v="11"/>
    <x v="0"/>
    <n v="3"/>
    <n v="80"/>
    <x v="1"/>
    <n v="26"/>
    <x v="1"/>
    <x v="2"/>
    <n v="26"/>
    <n v="14"/>
    <x v="2"/>
    <n v="0"/>
  </r>
  <r>
    <n v="36"/>
    <x v="1"/>
    <x v="0"/>
    <n v="676"/>
    <x v="1"/>
    <x v="0"/>
    <x v="3"/>
    <s v="Other"/>
    <n v="1"/>
    <n v="823"/>
    <n v="3"/>
    <x v="0"/>
    <n v="35"/>
    <x v="0"/>
    <n v="2"/>
    <x v="3"/>
    <n v="2"/>
    <x v="1"/>
    <n v="5228"/>
    <n v="23361"/>
    <n v="0"/>
    <s v="Y"/>
    <x v="1"/>
    <n v="15"/>
    <x v="0"/>
    <n v="1"/>
    <n v="80"/>
    <x v="1"/>
    <n v="10"/>
    <x v="2"/>
    <x v="1"/>
    <n v="9"/>
    <n v="7"/>
    <x v="0"/>
    <n v="5"/>
  </r>
  <r>
    <n v="29"/>
    <x v="1"/>
    <x v="0"/>
    <n v="1252"/>
    <x v="1"/>
    <x v="5"/>
    <x v="0"/>
    <s v="Life Sciences"/>
    <n v="1"/>
    <n v="824"/>
    <n v="3"/>
    <x v="1"/>
    <n v="81"/>
    <x v="2"/>
    <n v="1"/>
    <x v="1"/>
    <n v="3"/>
    <x v="1"/>
    <n v="2700"/>
    <n v="23779"/>
    <n v="1"/>
    <s v="Y"/>
    <x v="1"/>
    <n v="24"/>
    <x v="1"/>
    <n v="3"/>
    <n v="80"/>
    <x v="1"/>
    <n v="10"/>
    <x v="1"/>
    <x v="1"/>
    <n v="10"/>
    <n v="7"/>
    <x v="0"/>
    <n v="7"/>
  </r>
  <r>
    <n v="58"/>
    <x v="0"/>
    <x v="0"/>
    <n v="286"/>
    <x v="1"/>
    <x v="2"/>
    <x v="2"/>
    <s v="Life Sciences"/>
    <n v="1"/>
    <n v="825"/>
    <n v="4"/>
    <x v="1"/>
    <n v="31"/>
    <x v="0"/>
    <n v="5"/>
    <x v="7"/>
    <n v="2"/>
    <x v="0"/>
    <n v="19246"/>
    <n v="25761"/>
    <n v="7"/>
    <s v="Y"/>
    <x v="0"/>
    <n v="12"/>
    <x v="0"/>
    <n v="4"/>
    <n v="80"/>
    <x v="0"/>
    <n v="40"/>
    <x v="2"/>
    <x v="1"/>
    <n v="31"/>
    <n v="15"/>
    <x v="11"/>
    <n v="8"/>
  </r>
  <r>
    <n v="35"/>
    <x v="1"/>
    <x v="0"/>
    <n v="1258"/>
    <x v="1"/>
    <x v="0"/>
    <x v="2"/>
    <s v="Life Sciences"/>
    <n v="1"/>
    <n v="826"/>
    <n v="4"/>
    <x v="0"/>
    <n v="40"/>
    <x v="2"/>
    <n v="1"/>
    <x v="1"/>
    <n v="3"/>
    <x v="0"/>
    <n v="2506"/>
    <n v="13301"/>
    <n v="3"/>
    <s v="Y"/>
    <x v="1"/>
    <n v="13"/>
    <x v="0"/>
    <n v="3"/>
    <n v="80"/>
    <x v="0"/>
    <n v="7"/>
    <x v="0"/>
    <x v="1"/>
    <n v="2"/>
    <n v="2"/>
    <x v="3"/>
    <n v="2"/>
  </r>
  <r>
    <n v="42"/>
    <x v="1"/>
    <x v="0"/>
    <n v="932"/>
    <x v="1"/>
    <x v="0"/>
    <x v="0"/>
    <s v="Life Sciences"/>
    <n v="1"/>
    <n v="827"/>
    <n v="4"/>
    <x v="0"/>
    <n v="43"/>
    <x v="1"/>
    <n v="2"/>
    <x v="3"/>
    <n v="4"/>
    <x v="1"/>
    <n v="6062"/>
    <n v="4051"/>
    <n v="9"/>
    <s v="Y"/>
    <x v="0"/>
    <n v="13"/>
    <x v="0"/>
    <n v="4"/>
    <n v="80"/>
    <x v="1"/>
    <n v="8"/>
    <x v="5"/>
    <x v="1"/>
    <n v="4"/>
    <n v="3"/>
    <x v="0"/>
    <n v="2"/>
  </r>
  <r>
    <n v="28"/>
    <x v="0"/>
    <x v="0"/>
    <n v="890"/>
    <x v="1"/>
    <x v="2"/>
    <x v="2"/>
    <s v="Medical"/>
    <n v="1"/>
    <n v="828"/>
    <n v="3"/>
    <x v="1"/>
    <n v="46"/>
    <x v="0"/>
    <n v="1"/>
    <x v="1"/>
    <n v="3"/>
    <x v="0"/>
    <n v="4382"/>
    <n v="16374"/>
    <n v="6"/>
    <s v="Y"/>
    <x v="1"/>
    <n v="17"/>
    <x v="0"/>
    <n v="4"/>
    <n v="80"/>
    <x v="0"/>
    <n v="5"/>
    <x v="1"/>
    <x v="2"/>
    <n v="2"/>
    <n v="2"/>
    <x v="3"/>
    <n v="1"/>
  </r>
  <r>
    <n v="36"/>
    <x v="1"/>
    <x v="0"/>
    <n v="1041"/>
    <x v="2"/>
    <x v="28"/>
    <x v="3"/>
    <s v="Human Resources"/>
    <n v="1"/>
    <n v="829"/>
    <n v="3"/>
    <x v="1"/>
    <n v="36"/>
    <x v="0"/>
    <n v="1"/>
    <x v="8"/>
    <n v="2"/>
    <x v="1"/>
    <n v="2143"/>
    <n v="25527"/>
    <n v="4"/>
    <s v="Y"/>
    <x v="1"/>
    <n v="13"/>
    <x v="0"/>
    <n v="2"/>
    <n v="80"/>
    <x v="1"/>
    <n v="8"/>
    <x v="2"/>
    <x v="1"/>
    <n v="5"/>
    <n v="2"/>
    <x v="0"/>
    <n v="4"/>
  </r>
  <r>
    <n v="32"/>
    <x v="1"/>
    <x v="0"/>
    <n v="859"/>
    <x v="1"/>
    <x v="18"/>
    <x v="3"/>
    <s v="Life Sciences"/>
    <n v="1"/>
    <n v="830"/>
    <n v="3"/>
    <x v="0"/>
    <n v="98"/>
    <x v="1"/>
    <n v="2"/>
    <x v="3"/>
    <n v="3"/>
    <x v="1"/>
    <n v="6162"/>
    <n v="19124"/>
    <n v="1"/>
    <s v="Y"/>
    <x v="1"/>
    <n v="12"/>
    <x v="0"/>
    <n v="3"/>
    <n v="80"/>
    <x v="1"/>
    <n v="14"/>
    <x v="1"/>
    <x v="1"/>
    <n v="14"/>
    <n v="13"/>
    <x v="7"/>
    <n v="8"/>
  </r>
  <r>
    <n v="40"/>
    <x v="1"/>
    <x v="1"/>
    <n v="720"/>
    <x v="1"/>
    <x v="7"/>
    <x v="2"/>
    <s v="Medical"/>
    <n v="1"/>
    <n v="832"/>
    <n v="1"/>
    <x v="1"/>
    <n v="51"/>
    <x v="1"/>
    <n v="2"/>
    <x v="2"/>
    <n v="3"/>
    <x v="0"/>
    <n v="5094"/>
    <n v="11983"/>
    <n v="6"/>
    <s v="Y"/>
    <x v="1"/>
    <n v="14"/>
    <x v="0"/>
    <n v="4"/>
    <n v="80"/>
    <x v="0"/>
    <n v="10"/>
    <x v="6"/>
    <x v="1"/>
    <n v="1"/>
    <n v="0"/>
    <x v="0"/>
    <n v="0"/>
  </r>
  <r>
    <n v="30"/>
    <x v="1"/>
    <x v="0"/>
    <n v="946"/>
    <x v="1"/>
    <x v="2"/>
    <x v="3"/>
    <s v="Medical"/>
    <n v="1"/>
    <n v="833"/>
    <n v="3"/>
    <x v="0"/>
    <n v="52"/>
    <x v="1"/>
    <n v="2"/>
    <x v="3"/>
    <n v="4"/>
    <x v="0"/>
    <n v="6877"/>
    <n v="20234"/>
    <n v="5"/>
    <s v="Y"/>
    <x v="0"/>
    <n v="24"/>
    <x v="1"/>
    <n v="2"/>
    <n v="80"/>
    <x v="0"/>
    <n v="12"/>
    <x v="5"/>
    <x v="2"/>
    <n v="0"/>
    <n v="0"/>
    <x v="0"/>
    <n v="0"/>
  </r>
  <r>
    <n v="45"/>
    <x v="1"/>
    <x v="0"/>
    <n v="252"/>
    <x v="1"/>
    <x v="2"/>
    <x v="3"/>
    <s v="Life Sciences"/>
    <n v="1"/>
    <n v="834"/>
    <n v="2"/>
    <x v="0"/>
    <n v="95"/>
    <x v="1"/>
    <n v="1"/>
    <x v="1"/>
    <n v="3"/>
    <x v="0"/>
    <n v="2274"/>
    <n v="6153"/>
    <n v="1"/>
    <s v="Y"/>
    <x v="1"/>
    <n v="14"/>
    <x v="0"/>
    <n v="4"/>
    <n v="80"/>
    <x v="0"/>
    <n v="1"/>
    <x v="1"/>
    <x v="1"/>
    <n v="1"/>
    <n v="0"/>
    <x v="0"/>
    <n v="0"/>
  </r>
  <r>
    <n v="42"/>
    <x v="1"/>
    <x v="0"/>
    <n v="933"/>
    <x v="1"/>
    <x v="22"/>
    <x v="3"/>
    <s v="Life Sciences"/>
    <n v="1"/>
    <n v="836"/>
    <n v="2"/>
    <x v="1"/>
    <n v="98"/>
    <x v="0"/>
    <n v="2"/>
    <x v="3"/>
    <n v="2"/>
    <x v="1"/>
    <n v="4434"/>
    <n v="11806"/>
    <n v="1"/>
    <s v="Y"/>
    <x v="1"/>
    <n v="13"/>
    <x v="0"/>
    <n v="4"/>
    <n v="80"/>
    <x v="1"/>
    <n v="10"/>
    <x v="1"/>
    <x v="2"/>
    <n v="9"/>
    <n v="8"/>
    <x v="4"/>
    <n v="8"/>
  </r>
  <r>
    <n v="38"/>
    <x v="1"/>
    <x v="1"/>
    <n v="471"/>
    <x v="1"/>
    <x v="20"/>
    <x v="3"/>
    <s v="Life Sciences"/>
    <n v="1"/>
    <n v="837"/>
    <n v="1"/>
    <x v="1"/>
    <n v="45"/>
    <x v="1"/>
    <n v="2"/>
    <x v="4"/>
    <n v="1"/>
    <x v="2"/>
    <n v="6288"/>
    <n v="4284"/>
    <n v="2"/>
    <s v="Y"/>
    <x v="1"/>
    <n v="15"/>
    <x v="0"/>
    <n v="3"/>
    <n v="80"/>
    <x v="1"/>
    <n v="13"/>
    <x v="1"/>
    <x v="2"/>
    <n v="4"/>
    <n v="3"/>
    <x v="1"/>
    <n v="2"/>
  </r>
  <r>
    <n v="34"/>
    <x v="1"/>
    <x v="1"/>
    <n v="702"/>
    <x v="1"/>
    <x v="7"/>
    <x v="2"/>
    <s v="Life Sciences"/>
    <n v="1"/>
    <n v="838"/>
    <n v="3"/>
    <x v="0"/>
    <n v="100"/>
    <x v="1"/>
    <n v="1"/>
    <x v="1"/>
    <n v="4"/>
    <x v="0"/>
    <n v="2553"/>
    <n v="8306"/>
    <n v="1"/>
    <s v="Y"/>
    <x v="1"/>
    <n v="16"/>
    <x v="0"/>
    <n v="3"/>
    <n v="80"/>
    <x v="0"/>
    <n v="6"/>
    <x v="1"/>
    <x v="1"/>
    <n v="5"/>
    <n v="2"/>
    <x v="1"/>
    <n v="3"/>
  </r>
  <r>
    <n v="49"/>
    <x v="0"/>
    <x v="0"/>
    <n v="1184"/>
    <x v="0"/>
    <x v="13"/>
    <x v="3"/>
    <s v="Marketing"/>
    <n v="1"/>
    <n v="840"/>
    <n v="3"/>
    <x v="0"/>
    <n v="43"/>
    <x v="0"/>
    <n v="3"/>
    <x v="0"/>
    <n v="4"/>
    <x v="1"/>
    <n v="7654"/>
    <n v="5860"/>
    <n v="1"/>
    <s v="Y"/>
    <x v="1"/>
    <n v="18"/>
    <x v="0"/>
    <n v="1"/>
    <n v="80"/>
    <x v="3"/>
    <n v="9"/>
    <x v="1"/>
    <x v="3"/>
    <n v="9"/>
    <n v="8"/>
    <x v="4"/>
    <n v="7"/>
  </r>
  <r>
    <n v="55"/>
    <x v="0"/>
    <x v="0"/>
    <n v="436"/>
    <x v="0"/>
    <x v="2"/>
    <x v="1"/>
    <s v="Medical"/>
    <n v="1"/>
    <n v="842"/>
    <n v="3"/>
    <x v="1"/>
    <n v="37"/>
    <x v="0"/>
    <n v="2"/>
    <x v="0"/>
    <n v="4"/>
    <x v="0"/>
    <n v="5160"/>
    <n v="21519"/>
    <n v="4"/>
    <s v="Y"/>
    <x v="1"/>
    <n v="16"/>
    <x v="0"/>
    <n v="3"/>
    <n v="80"/>
    <x v="0"/>
    <n v="12"/>
    <x v="1"/>
    <x v="2"/>
    <n v="9"/>
    <n v="7"/>
    <x v="4"/>
    <n v="3"/>
  </r>
  <r>
    <n v="43"/>
    <x v="1"/>
    <x v="0"/>
    <n v="589"/>
    <x v="1"/>
    <x v="24"/>
    <x v="0"/>
    <s v="Life Sciences"/>
    <n v="1"/>
    <n v="843"/>
    <n v="2"/>
    <x v="1"/>
    <n v="94"/>
    <x v="0"/>
    <n v="4"/>
    <x v="7"/>
    <n v="1"/>
    <x v="1"/>
    <n v="17159"/>
    <n v="5200"/>
    <n v="6"/>
    <s v="Y"/>
    <x v="1"/>
    <n v="24"/>
    <x v="1"/>
    <n v="3"/>
    <n v="80"/>
    <x v="1"/>
    <n v="22"/>
    <x v="1"/>
    <x v="1"/>
    <n v="4"/>
    <n v="1"/>
    <x v="1"/>
    <n v="0"/>
  </r>
  <r>
    <n v="27"/>
    <x v="1"/>
    <x v="0"/>
    <n v="269"/>
    <x v="1"/>
    <x v="12"/>
    <x v="1"/>
    <s v="Technical Degree"/>
    <n v="1"/>
    <n v="844"/>
    <n v="3"/>
    <x v="1"/>
    <n v="42"/>
    <x v="1"/>
    <n v="3"/>
    <x v="7"/>
    <n v="4"/>
    <x v="2"/>
    <n v="12808"/>
    <n v="8842"/>
    <n v="1"/>
    <s v="Y"/>
    <x v="0"/>
    <n v="16"/>
    <x v="0"/>
    <n v="2"/>
    <n v="80"/>
    <x v="1"/>
    <n v="9"/>
    <x v="1"/>
    <x v="1"/>
    <n v="9"/>
    <n v="8"/>
    <x v="0"/>
    <n v="8"/>
  </r>
  <r>
    <n v="35"/>
    <x v="1"/>
    <x v="0"/>
    <n v="950"/>
    <x v="1"/>
    <x v="15"/>
    <x v="3"/>
    <s v="Other"/>
    <n v="1"/>
    <n v="845"/>
    <n v="3"/>
    <x v="1"/>
    <n v="59"/>
    <x v="0"/>
    <n v="3"/>
    <x v="3"/>
    <n v="3"/>
    <x v="0"/>
    <n v="10221"/>
    <n v="18869"/>
    <n v="3"/>
    <s v="Y"/>
    <x v="1"/>
    <n v="21"/>
    <x v="1"/>
    <n v="2"/>
    <n v="80"/>
    <x v="0"/>
    <n v="17"/>
    <x v="1"/>
    <x v="3"/>
    <n v="8"/>
    <n v="5"/>
    <x v="1"/>
    <n v="6"/>
  </r>
  <r>
    <n v="28"/>
    <x v="1"/>
    <x v="0"/>
    <n v="760"/>
    <x v="0"/>
    <x v="2"/>
    <x v="2"/>
    <s v="Marketing"/>
    <n v="1"/>
    <n v="846"/>
    <n v="2"/>
    <x v="0"/>
    <n v="81"/>
    <x v="0"/>
    <n v="2"/>
    <x v="0"/>
    <n v="2"/>
    <x v="1"/>
    <n v="4779"/>
    <n v="3698"/>
    <n v="1"/>
    <s v="Y"/>
    <x v="0"/>
    <n v="20"/>
    <x v="1"/>
    <n v="1"/>
    <n v="80"/>
    <x v="0"/>
    <n v="8"/>
    <x v="2"/>
    <x v="1"/>
    <n v="8"/>
    <n v="7"/>
    <x v="4"/>
    <n v="5"/>
  </r>
  <r>
    <n v="34"/>
    <x v="1"/>
    <x v="0"/>
    <n v="829"/>
    <x v="2"/>
    <x v="3"/>
    <x v="0"/>
    <s v="Human Resources"/>
    <n v="1"/>
    <n v="847"/>
    <n v="3"/>
    <x v="1"/>
    <n v="88"/>
    <x v="0"/>
    <n v="1"/>
    <x v="8"/>
    <n v="4"/>
    <x v="1"/>
    <n v="3737"/>
    <n v="2243"/>
    <n v="0"/>
    <s v="Y"/>
    <x v="1"/>
    <n v="19"/>
    <x v="0"/>
    <n v="3"/>
    <n v="80"/>
    <x v="1"/>
    <n v="4"/>
    <x v="4"/>
    <x v="0"/>
    <n v="3"/>
    <n v="2"/>
    <x v="0"/>
    <n v="2"/>
  </r>
  <r>
    <n v="26"/>
    <x v="0"/>
    <x v="1"/>
    <n v="887"/>
    <x v="1"/>
    <x v="12"/>
    <x v="0"/>
    <s v="Medical"/>
    <n v="1"/>
    <n v="848"/>
    <n v="3"/>
    <x v="0"/>
    <n v="88"/>
    <x v="1"/>
    <n v="1"/>
    <x v="1"/>
    <n v="3"/>
    <x v="1"/>
    <n v="2366"/>
    <n v="20898"/>
    <n v="1"/>
    <s v="Y"/>
    <x v="0"/>
    <n v="14"/>
    <x v="0"/>
    <n v="1"/>
    <n v="80"/>
    <x v="1"/>
    <n v="8"/>
    <x v="2"/>
    <x v="1"/>
    <n v="8"/>
    <n v="7"/>
    <x v="1"/>
    <n v="7"/>
  </r>
  <r>
    <n v="27"/>
    <x v="1"/>
    <x v="2"/>
    <n v="443"/>
    <x v="1"/>
    <x v="3"/>
    <x v="3"/>
    <s v="Medical"/>
    <n v="1"/>
    <n v="850"/>
    <n v="4"/>
    <x v="1"/>
    <n v="50"/>
    <x v="0"/>
    <n v="1"/>
    <x v="1"/>
    <n v="4"/>
    <x v="1"/>
    <n v="1706"/>
    <n v="16571"/>
    <n v="1"/>
    <s v="Y"/>
    <x v="1"/>
    <n v="11"/>
    <x v="0"/>
    <n v="3"/>
    <n v="80"/>
    <x v="2"/>
    <n v="0"/>
    <x v="6"/>
    <x v="2"/>
    <n v="0"/>
    <n v="0"/>
    <x v="0"/>
    <n v="0"/>
  </r>
  <r>
    <n v="51"/>
    <x v="1"/>
    <x v="0"/>
    <n v="1318"/>
    <x v="0"/>
    <x v="9"/>
    <x v="2"/>
    <s v="Marketing"/>
    <n v="1"/>
    <n v="851"/>
    <n v="1"/>
    <x v="0"/>
    <n v="66"/>
    <x v="0"/>
    <n v="4"/>
    <x v="5"/>
    <n v="3"/>
    <x v="1"/>
    <n v="16307"/>
    <n v="5594"/>
    <n v="2"/>
    <s v="Y"/>
    <x v="1"/>
    <n v="14"/>
    <x v="0"/>
    <n v="3"/>
    <n v="80"/>
    <x v="1"/>
    <n v="29"/>
    <x v="2"/>
    <x v="2"/>
    <n v="20"/>
    <n v="6"/>
    <x v="5"/>
    <n v="17"/>
  </r>
  <r>
    <n v="44"/>
    <x v="1"/>
    <x v="0"/>
    <n v="625"/>
    <x v="1"/>
    <x v="18"/>
    <x v="3"/>
    <s v="Medical"/>
    <n v="1"/>
    <n v="852"/>
    <n v="4"/>
    <x v="1"/>
    <n v="50"/>
    <x v="0"/>
    <n v="2"/>
    <x v="4"/>
    <n v="2"/>
    <x v="0"/>
    <n v="5933"/>
    <n v="5197"/>
    <n v="9"/>
    <s v="Y"/>
    <x v="1"/>
    <n v="12"/>
    <x v="0"/>
    <n v="4"/>
    <n v="80"/>
    <x v="0"/>
    <n v="10"/>
    <x v="2"/>
    <x v="2"/>
    <n v="5"/>
    <n v="2"/>
    <x v="3"/>
    <n v="3"/>
  </r>
  <r>
    <n v="25"/>
    <x v="1"/>
    <x v="0"/>
    <n v="180"/>
    <x v="1"/>
    <x v="2"/>
    <x v="1"/>
    <s v="Medical"/>
    <n v="1"/>
    <n v="854"/>
    <n v="1"/>
    <x v="1"/>
    <n v="65"/>
    <x v="2"/>
    <n v="1"/>
    <x v="1"/>
    <n v="1"/>
    <x v="0"/>
    <n v="3424"/>
    <n v="21632"/>
    <n v="7"/>
    <s v="Y"/>
    <x v="1"/>
    <n v="13"/>
    <x v="0"/>
    <n v="3"/>
    <n v="80"/>
    <x v="0"/>
    <n v="6"/>
    <x v="1"/>
    <x v="2"/>
    <n v="4"/>
    <n v="3"/>
    <x v="0"/>
    <n v="1"/>
  </r>
  <r>
    <n v="33"/>
    <x v="1"/>
    <x v="0"/>
    <n v="586"/>
    <x v="0"/>
    <x v="0"/>
    <x v="3"/>
    <s v="Medical"/>
    <n v="1"/>
    <n v="855"/>
    <n v="1"/>
    <x v="1"/>
    <n v="48"/>
    <x v="2"/>
    <n v="2"/>
    <x v="0"/>
    <n v="1"/>
    <x v="2"/>
    <n v="4037"/>
    <n v="21816"/>
    <n v="1"/>
    <s v="Y"/>
    <x v="1"/>
    <n v="22"/>
    <x v="1"/>
    <n v="1"/>
    <n v="80"/>
    <x v="1"/>
    <n v="9"/>
    <x v="3"/>
    <x v="1"/>
    <n v="9"/>
    <n v="8"/>
    <x v="0"/>
    <n v="8"/>
  </r>
  <r>
    <n v="35"/>
    <x v="1"/>
    <x v="0"/>
    <n v="1343"/>
    <x v="1"/>
    <x v="6"/>
    <x v="1"/>
    <s v="Medical"/>
    <n v="1"/>
    <n v="856"/>
    <n v="3"/>
    <x v="0"/>
    <n v="53"/>
    <x v="1"/>
    <n v="1"/>
    <x v="1"/>
    <n v="1"/>
    <x v="0"/>
    <n v="2559"/>
    <n v="17852"/>
    <n v="1"/>
    <s v="Y"/>
    <x v="1"/>
    <n v="11"/>
    <x v="0"/>
    <n v="4"/>
    <n v="80"/>
    <x v="0"/>
    <n v="6"/>
    <x v="1"/>
    <x v="2"/>
    <n v="6"/>
    <n v="5"/>
    <x v="1"/>
    <n v="1"/>
  </r>
  <r>
    <n v="36"/>
    <x v="1"/>
    <x v="0"/>
    <n v="928"/>
    <x v="0"/>
    <x v="0"/>
    <x v="0"/>
    <s v="Life Sciences"/>
    <n v="1"/>
    <n v="857"/>
    <n v="2"/>
    <x v="1"/>
    <n v="56"/>
    <x v="0"/>
    <n v="2"/>
    <x v="0"/>
    <n v="4"/>
    <x v="1"/>
    <n v="6201"/>
    <n v="2823"/>
    <n v="1"/>
    <s v="Y"/>
    <x v="0"/>
    <n v="14"/>
    <x v="0"/>
    <n v="4"/>
    <n v="80"/>
    <x v="1"/>
    <n v="18"/>
    <x v="4"/>
    <x v="2"/>
    <n v="18"/>
    <n v="14"/>
    <x v="5"/>
    <n v="11"/>
  </r>
  <r>
    <n v="32"/>
    <x v="1"/>
    <x v="0"/>
    <n v="117"/>
    <x v="0"/>
    <x v="28"/>
    <x v="2"/>
    <s v="Life Sciences"/>
    <n v="1"/>
    <n v="859"/>
    <n v="2"/>
    <x v="1"/>
    <n v="73"/>
    <x v="0"/>
    <n v="2"/>
    <x v="0"/>
    <n v="4"/>
    <x v="2"/>
    <n v="4403"/>
    <n v="9250"/>
    <n v="2"/>
    <s v="Y"/>
    <x v="1"/>
    <n v="11"/>
    <x v="0"/>
    <n v="3"/>
    <n v="80"/>
    <x v="1"/>
    <n v="8"/>
    <x v="1"/>
    <x v="2"/>
    <n v="5"/>
    <n v="2"/>
    <x v="0"/>
    <n v="3"/>
  </r>
  <r>
    <n v="30"/>
    <x v="1"/>
    <x v="1"/>
    <n v="1012"/>
    <x v="1"/>
    <x v="12"/>
    <x v="2"/>
    <s v="Life Sciences"/>
    <n v="1"/>
    <n v="861"/>
    <n v="2"/>
    <x v="1"/>
    <n v="75"/>
    <x v="1"/>
    <n v="1"/>
    <x v="1"/>
    <n v="4"/>
    <x v="2"/>
    <n v="3761"/>
    <n v="2373"/>
    <n v="9"/>
    <s v="Y"/>
    <x v="1"/>
    <n v="12"/>
    <x v="0"/>
    <n v="2"/>
    <n v="80"/>
    <x v="1"/>
    <n v="10"/>
    <x v="1"/>
    <x v="2"/>
    <n v="5"/>
    <n v="4"/>
    <x v="0"/>
    <n v="3"/>
  </r>
  <r>
    <n v="53"/>
    <x v="1"/>
    <x v="0"/>
    <n v="661"/>
    <x v="0"/>
    <x v="15"/>
    <x v="0"/>
    <s v="Marketing"/>
    <n v="1"/>
    <n v="862"/>
    <n v="1"/>
    <x v="0"/>
    <n v="78"/>
    <x v="1"/>
    <n v="3"/>
    <x v="0"/>
    <n v="4"/>
    <x v="1"/>
    <n v="10934"/>
    <n v="20715"/>
    <n v="7"/>
    <s v="Y"/>
    <x v="0"/>
    <n v="18"/>
    <x v="0"/>
    <n v="4"/>
    <n v="80"/>
    <x v="1"/>
    <n v="35"/>
    <x v="1"/>
    <x v="1"/>
    <n v="5"/>
    <n v="2"/>
    <x v="0"/>
    <n v="4"/>
  </r>
  <r>
    <n v="45"/>
    <x v="1"/>
    <x v="0"/>
    <n v="930"/>
    <x v="0"/>
    <x v="14"/>
    <x v="3"/>
    <s v="Marketing"/>
    <n v="1"/>
    <n v="864"/>
    <n v="4"/>
    <x v="1"/>
    <n v="74"/>
    <x v="0"/>
    <n v="3"/>
    <x v="0"/>
    <n v="1"/>
    <x v="2"/>
    <n v="10761"/>
    <n v="19239"/>
    <n v="4"/>
    <s v="Y"/>
    <x v="0"/>
    <n v="12"/>
    <x v="0"/>
    <n v="3"/>
    <n v="80"/>
    <x v="1"/>
    <n v="18"/>
    <x v="2"/>
    <x v="1"/>
    <n v="5"/>
    <n v="4"/>
    <x v="0"/>
    <n v="2"/>
  </r>
  <r>
    <n v="32"/>
    <x v="1"/>
    <x v="0"/>
    <n v="638"/>
    <x v="1"/>
    <x v="1"/>
    <x v="0"/>
    <s v="Medical"/>
    <n v="1"/>
    <n v="865"/>
    <n v="3"/>
    <x v="0"/>
    <n v="91"/>
    <x v="2"/>
    <n v="2"/>
    <x v="1"/>
    <n v="3"/>
    <x v="1"/>
    <n v="5175"/>
    <n v="22162"/>
    <n v="5"/>
    <s v="Y"/>
    <x v="1"/>
    <n v="12"/>
    <x v="0"/>
    <n v="3"/>
    <n v="80"/>
    <x v="1"/>
    <n v="9"/>
    <x v="1"/>
    <x v="2"/>
    <n v="5"/>
    <n v="3"/>
    <x v="1"/>
    <n v="3"/>
  </r>
  <r>
    <n v="52"/>
    <x v="1"/>
    <x v="1"/>
    <n v="890"/>
    <x v="1"/>
    <x v="19"/>
    <x v="2"/>
    <s v="Medical"/>
    <n v="1"/>
    <n v="867"/>
    <n v="3"/>
    <x v="0"/>
    <n v="81"/>
    <x v="1"/>
    <n v="4"/>
    <x v="3"/>
    <n v="4"/>
    <x v="1"/>
    <n v="13826"/>
    <n v="19028"/>
    <n v="3"/>
    <s v="Y"/>
    <x v="1"/>
    <n v="22"/>
    <x v="1"/>
    <n v="3"/>
    <n v="80"/>
    <x v="0"/>
    <n v="31"/>
    <x v="1"/>
    <x v="1"/>
    <n v="9"/>
    <n v="8"/>
    <x v="0"/>
    <n v="0"/>
  </r>
  <r>
    <n v="37"/>
    <x v="1"/>
    <x v="0"/>
    <n v="342"/>
    <x v="0"/>
    <x v="7"/>
    <x v="2"/>
    <s v="Marketing"/>
    <n v="1"/>
    <n v="868"/>
    <n v="4"/>
    <x v="1"/>
    <n v="66"/>
    <x v="1"/>
    <n v="2"/>
    <x v="0"/>
    <n v="3"/>
    <x v="2"/>
    <n v="6334"/>
    <n v="24558"/>
    <n v="4"/>
    <s v="Y"/>
    <x v="1"/>
    <n v="19"/>
    <x v="0"/>
    <n v="4"/>
    <n v="80"/>
    <x v="3"/>
    <n v="9"/>
    <x v="2"/>
    <x v="1"/>
    <n v="1"/>
    <n v="0"/>
    <x v="0"/>
    <n v="0"/>
  </r>
  <r>
    <n v="28"/>
    <x v="1"/>
    <x v="0"/>
    <n v="1169"/>
    <x v="2"/>
    <x v="1"/>
    <x v="0"/>
    <s v="Medical"/>
    <n v="1"/>
    <n v="869"/>
    <n v="2"/>
    <x v="1"/>
    <n v="63"/>
    <x v="1"/>
    <n v="1"/>
    <x v="8"/>
    <n v="4"/>
    <x v="2"/>
    <n v="4936"/>
    <n v="23965"/>
    <n v="1"/>
    <s v="Y"/>
    <x v="1"/>
    <n v="13"/>
    <x v="0"/>
    <n v="4"/>
    <n v="80"/>
    <x v="1"/>
    <n v="6"/>
    <x v="6"/>
    <x v="1"/>
    <n v="5"/>
    <n v="1"/>
    <x v="0"/>
    <n v="4"/>
  </r>
  <r>
    <n v="22"/>
    <x v="1"/>
    <x v="0"/>
    <n v="1230"/>
    <x v="1"/>
    <x v="0"/>
    <x v="0"/>
    <s v="Life Sciences"/>
    <n v="1"/>
    <n v="872"/>
    <n v="4"/>
    <x v="1"/>
    <n v="33"/>
    <x v="1"/>
    <n v="2"/>
    <x v="3"/>
    <n v="4"/>
    <x v="1"/>
    <n v="4775"/>
    <n v="19146"/>
    <n v="6"/>
    <s v="Y"/>
    <x v="1"/>
    <n v="22"/>
    <x v="1"/>
    <n v="1"/>
    <n v="80"/>
    <x v="3"/>
    <n v="4"/>
    <x v="2"/>
    <x v="0"/>
    <n v="2"/>
    <n v="2"/>
    <x v="3"/>
    <n v="2"/>
  </r>
  <r>
    <n v="44"/>
    <x v="1"/>
    <x v="0"/>
    <n v="986"/>
    <x v="1"/>
    <x v="1"/>
    <x v="2"/>
    <s v="Life Sciences"/>
    <n v="1"/>
    <n v="874"/>
    <n v="1"/>
    <x v="1"/>
    <n v="62"/>
    <x v="2"/>
    <n v="1"/>
    <x v="2"/>
    <n v="4"/>
    <x v="1"/>
    <n v="2818"/>
    <n v="5044"/>
    <n v="2"/>
    <s v="Y"/>
    <x v="0"/>
    <n v="24"/>
    <x v="1"/>
    <n v="3"/>
    <n v="80"/>
    <x v="1"/>
    <n v="10"/>
    <x v="2"/>
    <x v="2"/>
    <n v="3"/>
    <n v="2"/>
    <x v="0"/>
    <n v="2"/>
  </r>
  <r>
    <n v="42"/>
    <x v="1"/>
    <x v="1"/>
    <n v="1271"/>
    <x v="1"/>
    <x v="2"/>
    <x v="1"/>
    <s v="Medical"/>
    <n v="1"/>
    <n v="875"/>
    <n v="2"/>
    <x v="1"/>
    <n v="35"/>
    <x v="0"/>
    <n v="1"/>
    <x v="1"/>
    <n v="4"/>
    <x v="0"/>
    <n v="2515"/>
    <n v="9068"/>
    <n v="5"/>
    <s v="Y"/>
    <x v="0"/>
    <n v="14"/>
    <x v="0"/>
    <n v="4"/>
    <n v="80"/>
    <x v="0"/>
    <n v="8"/>
    <x v="2"/>
    <x v="1"/>
    <n v="2"/>
    <n v="1"/>
    <x v="3"/>
    <n v="2"/>
  </r>
  <r>
    <n v="36"/>
    <x v="1"/>
    <x v="0"/>
    <n v="1278"/>
    <x v="2"/>
    <x v="1"/>
    <x v="3"/>
    <s v="Life Sciences"/>
    <n v="1"/>
    <n v="878"/>
    <n v="1"/>
    <x v="1"/>
    <n v="77"/>
    <x v="1"/>
    <n v="1"/>
    <x v="8"/>
    <n v="1"/>
    <x v="1"/>
    <n v="2342"/>
    <n v="8635"/>
    <n v="0"/>
    <s v="Y"/>
    <x v="1"/>
    <n v="21"/>
    <x v="1"/>
    <n v="3"/>
    <n v="80"/>
    <x v="0"/>
    <n v="6"/>
    <x v="1"/>
    <x v="1"/>
    <n v="5"/>
    <n v="4"/>
    <x v="0"/>
    <n v="3"/>
  </r>
  <r>
    <n v="25"/>
    <x v="1"/>
    <x v="0"/>
    <n v="141"/>
    <x v="0"/>
    <x v="3"/>
    <x v="1"/>
    <s v="Other"/>
    <n v="1"/>
    <n v="879"/>
    <n v="3"/>
    <x v="1"/>
    <n v="98"/>
    <x v="0"/>
    <n v="2"/>
    <x v="0"/>
    <n v="1"/>
    <x v="1"/>
    <n v="4194"/>
    <n v="14363"/>
    <n v="1"/>
    <s v="Y"/>
    <x v="0"/>
    <n v="18"/>
    <x v="0"/>
    <n v="4"/>
    <n v="80"/>
    <x v="0"/>
    <n v="5"/>
    <x v="1"/>
    <x v="1"/>
    <n v="5"/>
    <n v="3"/>
    <x v="0"/>
    <n v="3"/>
  </r>
  <r>
    <n v="35"/>
    <x v="1"/>
    <x v="0"/>
    <n v="607"/>
    <x v="1"/>
    <x v="14"/>
    <x v="3"/>
    <s v="Life Sciences"/>
    <n v="1"/>
    <n v="880"/>
    <n v="4"/>
    <x v="0"/>
    <n v="66"/>
    <x v="1"/>
    <n v="3"/>
    <x v="3"/>
    <n v="3"/>
    <x v="1"/>
    <n v="10685"/>
    <n v="23457"/>
    <n v="1"/>
    <s v="Y"/>
    <x v="0"/>
    <n v="20"/>
    <x v="1"/>
    <n v="2"/>
    <n v="80"/>
    <x v="1"/>
    <n v="17"/>
    <x v="2"/>
    <x v="1"/>
    <n v="17"/>
    <n v="14"/>
    <x v="8"/>
    <n v="15"/>
  </r>
  <r>
    <n v="35"/>
    <x v="0"/>
    <x v="1"/>
    <n v="130"/>
    <x v="1"/>
    <x v="19"/>
    <x v="2"/>
    <s v="Life Sciences"/>
    <n v="1"/>
    <n v="881"/>
    <n v="4"/>
    <x v="0"/>
    <n v="96"/>
    <x v="0"/>
    <n v="1"/>
    <x v="1"/>
    <n v="2"/>
    <x v="2"/>
    <n v="2022"/>
    <n v="16612"/>
    <n v="1"/>
    <s v="Y"/>
    <x v="0"/>
    <n v="19"/>
    <x v="0"/>
    <n v="1"/>
    <n v="80"/>
    <x v="1"/>
    <n v="10"/>
    <x v="1"/>
    <x v="2"/>
    <n v="10"/>
    <n v="2"/>
    <x v="4"/>
    <n v="8"/>
  </r>
  <r>
    <n v="32"/>
    <x v="1"/>
    <x v="2"/>
    <n v="300"/>
    <x v="1"/>
    <x v="0"/>
    <x v="3"/>
    <s v="Life Sciences"/>
    <n v="1"/>
    <n v="882"/>
    <n v="4"/>
    <x v="1"/>
    <n v="61"/>
    <x v="0"/>
    <n v="1"/>
    <x v="2"/>
    <n v="4"/>
    <x v="2"/>
    <n v="2314"/>
    <n v="9148"/>
    <n v="0"/>
    <s v="Y"/>
    <x v="1"/>
    <n v="12"/>
    <x v="0"/>
    <n v="2"/>
    <n v="80"/>
    <x v="1"/>
    <n v="4"/>
    <x v="2"/>
    <x v="1"/>
    <n v="3"/>
    <n v="0"/>
    <x v="0"/>
    <n v="2"/>
  </r>
  <r>
    <n v="25"/>
    <x v="1"/>
    <x v="0"/>
    <n v="583"/>
    <x v="0"/>
    <x v="18"/>
    <x v="1"/>
    <s v="Marketing"/>
    <n v="1"/>
    <n v="885"/>
    <n v="3"/>
    <x v="1"/>
    <n v="87"/>
    <x v="1"/>
    <n v="2"/>
    <x v="0"/>
    <n v="1"/>
    <x v="1"/>
    <n v="4256"/>
    <n v="18154"/>
    <n v="1"/>
    <s v="Y"/>
    <x v="1"/>
    <n v="12"/>
    <x v="0"/>
    <n v="1"/>
    <n v="80"/>
    <x v="0"/>
    <n v="5"/>
    <x v="4"/>
    <x v="3"/>
    <n v="5"/>
    <n v="2"/>
    <x v="0"/>
    <n v="3"/>
  </r>
  <r>
    <n v="49"/>
    <x v="1"/>
    <x v="0"/>
    <n v="1418"/>
    <x v="1"/>
    <x v="0"/>
    <x v="3"/>
    <s v="Technical Degree"/>
    <n v="1"/>
    <n v="887"/>
    <n v="3"/>
    <x v="0"/>
    <n v="36"/>
    <x v="0"/>
    <n v="1"/>
    <x v="1"/>
    <n v="1"/>
    <x v="1"/>
    <n v="3580"/>
    <n v="10554"/>
    <n v="2"/>
    <s v="Y"/>
    <x v="1"/>
    <n v="16"/>
    <x v="0"/>
    <n v="2"/>
    <n v="80"/>
    <x v="1"/>
    <n v="7"/>
    <x v="2"/>
    <x v="1"/>
    <n v="4"/>
    <n v="2"/>
    <x v="0"/>
    <n v="2"/>
  </r>
  <r>
    <n v="24"/>
    <x v="1"/>
    <x v="2"/>
    <n v="1269"/>
    <x v="1"/>
    <x v="18"/>
    <x v="1"/>
    <s v="Life Sciences"/>
    <n v="1"/>
    <n v="888"/>
    <n v="1"/>
    <x v="1"/>
    <n v="46"/>
    <x v="1"/>
    <n v="1"/>
    <x v="2"/>
    <n v="4"/>
    <x v="1"/>
    <n v="3162"/>
    <n v="10778"/>
    <n v="0"/>
    <s v="Y"/>
    <x v="1"/>
    <n v="17"/>
    <x v="0"/>
    <n v="4"/>
    <n v="80"/>
    <x v="0"/>
    <n v="6"/>
    <x v="2"/>
    <x v="2"/>
    <n v="5"/>
    <n v="2"/>
    <x v="2"/>
    <n v="4"/>
  </r>
  <r>
    <n v="32"/>
    <x v="1"/>
    <x v="1"/>
    <n v="379"/>
    <x v="0"/>
    <x v="12"/>
    <x v="0"/>
    <s v="Life Sciences"/>
    <n v="1"/>
    <n v="889"/>
    <n v="2"/>
    <x v="1"/>
    <n v="48"/>
    <x v="0"/>
    <n v="2"/>
    <x v="0"/>
    <n v="2"/>
    <x v="1"/>
    <n v="6524"/>
    <n v="8891"/>
    <n v="1"/>
    <s v="Y"/>
    <x v="1"/>
    <n v="14"/>
    <x v="0"/>
    <n v="4"/>
    <n v="80"/>
    <x v="1"/>
    <n v="10"/>
    <x v="1"/>
    <x v="1"/>
    <n v="10"/>
    <n v="8"/>
    <x v="8"/>
    <n v="3"/>
  </r>
  <r>
    <n v="38"/>
    <x v="1"/>
    <x v="0"/>
    <n v="395"/>
    <x v="0"/>
    <x v="14"/>
    <x v="3"/>
    <s v="Marketing"/>
    <n v="1"/>
    <n v="893"/>
    <n v="2"/>
    <x v="1"/>
    <n v="98"/>
    <x v="1"/>
    <n v="1"/>
    <x v="6"/>
    <n v="2"/>
    <x v="1"/>
    <n v="2899"/>
    <n v="12102"/>
    <n v="0"/>
    <s v="Y"/>
    <x v="1"/>
    <n v="19"/>
    <x v="0"/>
    <n v="4"/>
    <n v="80"/>
    <x v="1"/>
    <n v="3"/>
    <x v="1"/>
    <x v="1"/>
    <n v="2"/>
    <n v="2"/>
    <x v="1"/>
    <n v="2"/>
  </r>
  <r>
    <n v="42"/>
    <x v="1"/>
    <x v="0"/>
    <n v="1265"/>
    <x v="1"/>
    <x v="3"/>
    <x v="3"/>
    <s v="Life Sciences"/>
    <n v="1"/>
    <n v="894"/>
    <n v="3"/>
    <x v="0"/>
    <n v="95"/>
    <x v="2"/>
    <n v="2"/>
    <x v="2"/>
    <n v="4"/>
    <x v="1"/>
    <n v="5231"/>
    <n v="23726"/>
    <n v="2"/>
    <s v="Y"/>
    <x v="0"/>
    <n v="13"/>
    <x v="0"/>
    <n v="2"/>
    <n v="80"/>
    <x v="1"/>
    <n v="17"/>
    <x v="4"/>
    <x v="2"/>
    <n v="5"/>
    <n v="3"/>
    <x v="1"/>
    <n v="3"/>
  </r>
  <r>
    <n v="31"/>
    <x v="1"/>
    <x v="0"/>
    <n v="1222"/>
    <x v="1"/>
    <x v="13"/>
    <x v="2"/>
    <s v="Life Sciences"/>
    <n v="1"/>
    <n v="895"/>
    <n v="4"/>
    <x v="1"/>
    <n v="48"/>
    <x v="0"/>
    <n v="1"/>
    <x v="1"/>
    <n v="4"/>
    <x v="1"/>
    <n v="2356"/>
    <n v="14871"/>
    <n v="3"/>
    <s v="Y"/>
    <x v="0"/>
    <n v="19"/>
    <x v="0"/>
    <n v="2"/>
    <n v="80"/>
    <x v="1"/>
    <n v="8"/>
    <x v="2"/>
    <x v="1"/>
    <n v="6"/>
    <n v="4"/>
    <x v="0"/>
    <n v="2"/>
  </r>
  <r>
    <n v="29"/>
    <x v="0"/>
    <x v="0"/>
    <n v="341"/>
    <x v="0"/>
    <x v="0"/>
    <x v="3"/>
    <s v="Medical"/>
    <n v="1"/>
    <n v="896"/>
    <n v="2"/>
    <x v="0"/>
    <n v="48"/>
    <x v="1"/>
    <n v="1"/>
    <x v="6"/>
    <n v="3"/>
    <x v="2"/>
    <n v="2800"/>
    <n v="23522"/>
    <n v="6"/>
    <s v="Y"/>
    <x v="0"/>
    <n v="19"/>
    <x v="0"/>
    <n v="3"/>
    <n v="80"/>
    <x v="2"/>
    <n v="5"/>
    <x v="1"/>
    <x v="1"/>
    <n v="3"/>
    <n v="2"/>
    <x v="0"/>
    <n v="2"/>
  </r>
  <r>
    <n v="53"/>
    <x v="1"/>
    <x v="0"/>
    <n v="868"/>
    <x v="0"/>
    <x v="1"/>
    <x v="3"/>
    <s v="Marketing"/>
    <n v="1"/>
    <n v="897"/>
    <n v="1"/>
    <x v="1"/>
    <n v="73"/>
    <x v="0"/>
    <n v="4"/>
    <x v="0"/>
    <n v="4"/>
    <x v="1"/>
    <n v="11836"/>
    <n v="22789"/>
    <n v="5"/>
    <s v="Y"/>
    <x v="1"/>
    <n v="14"/>
    <x v="0"/>
    <n v="3"/>
    <n v="80"/>
    <x v="1"/>
    <n v="28"/>
    <x v="1"/>
    <x v="1"/>
    <n v="2"/>
    <n v="0"/>
    <x v="3"/>
    <n v="2"/>
  </r>
  <r>
    <n v="35"/>
    <x v="1"/>
    <x v="0"/>
    <n v="672"/>
    <x v="1"/>
    <x v="19"/>
    <x v="3"/>
    <s v="Technical Degree"/>
    <n v="1"/>
    <n v="899"/>
    <n v="4"/>
    <x v="1"/>
    <n v="78"/>
    <x v="1"/>
    <n v="3"/>
    <x v="3"/>
    <n v="2"/>
    <x v="1"/>
    <n v="10903"/>
    <n v="9129"/>
    <n v="3"/>
    <s v="Y"/>
    <x v="1"/>
    <n v="16"/>
    <x v="0"/>
    <n v="1"/>
    <n v="80"/>
    <x v="0"/>
    <n v="16"/>
    <x v="2"/>
    <x v="1"/>
    <n v="13"/>
    <n v="10"/>
    <x v="5"/>
    <n v="8"/>
  </r>
  <r>
    <n v="37"/>
    <x v="1"/>
    <x v="1"/>
    <n v="1231"/>
    <x v="0"/>
    <x v="11"/>
    <x v="0"/>
    <s v="Medical"/>
    <n v="1"/>
    <n v="900"/>
    <n v="3"/>
    <x v="0"/>
    <n v="54"/>
    <x v="0"/>
    <n v="1"/>
    <x v="6"/>
    <n v="4"/>
    <x v="1"/>
    <n v="2973"/>
    <n v="21222"/>
    <n v="5"/>
    <s v="Y"/>
    <x v="1"/>
    <n v="15"/>
    <x v="0"/>
    <n v="2"/>
    <n v="80"/>
    <x v="1"/>
    <n v="10"/>
    <x v="1"/>
    <x v="1"/>
    <n v="5"/>
    <n v="4"/>
    <x v="0"/>
    <n v="0"/>
  </r>
  <r>
    <n v="53"/>
    <x v="1"/>
    <x v="0"/>
    <n v="102"/>
    <x v="1"/>
    <x v="5"/>
    <x v="2"/>
    <s v="Life Sciences"/>
    <n v="1"/>
    <n v="901"/>
    <n v="4"/>
    <x v="0"/>
    <n v="72"/>
    <x v="0"/>
    <n v="4"/>
    <x v="7"/>
    <n v="4"/>
    <x v="0"/>
    <n v="14275"/>
    <n v="20206"/>
    <n v="6"/>
    <s v="Y"/>
    <x v="1"/>
    <n v="18"/>
    <x v="0"/>
    <n v="3"/>
    <n v="80"/>
    <x v="0"/>
    <n v="33"/>
    <x v="0"/>
    <x v="1"/>
    <n v="12"/>
    <n v="9"/>
    <x v="2"/>
    <n v="8"/>
  </r>
  <r>
    <n v="43"/>
    <x v="1"/>
    <x v="1"/>
    <n v="422"/>
    <x v="1"/>
    <x v="0"/>
    <x v="3"/>
    <s v="Life Sciences"/>
    <n v="1"/>
    <n v="902"/>
    <n v="4"/>
    <x v="0"/>
    <n v="33"/>
    <x v="0"/>
    <n v="2"/>
    <x v="4"/>
    <n v="4"/>
    <x v="1"/>
    <n v="5562"/>
    <n v="21782"/>
    <n v="4"/>
    <s v="Y"/>
    <x v="1"/>
    <n v="13"/>
    <x v="0"/>
    <n v="2"/>
    <n v="80"/>
    <x v="1"/>
    <n v="12"/>
    <x v="2"/>
    <x v="2"/>
    <n v="5"/>
    <n v="2"/>
    <x v="3"/>
    <n v="2"/>
  </r>
  <r>
    <n v="47"/>
    <x v="1"/>
    <x v="0"/>
    <n v="249"/>
    <x v="0"/>
    <x v="2"/>
    <x v="0"/>
    <s v="Marketing"/>
    <n v="1"/>
    <n v="903"/>
    <n v="3"/>
    <x v="0"/>
    <n v="35"/>
    <x v="0"/>
    <n v="2"/>
    <x v="0"/>
    <n v="4"/>
    <x v="1"/>
    <n v="4537"/>
    <n v="17783"/>
    <n v="0"/>
    <s v="Y"/>
    <x v="0"/>
    <n v="22"/>
    <x v="1"/>
    <n v="1"/>
    <n v="80"/>
    <x v="1"/>
    <n v="8"/>
    <x v="2"/>
    <x v="1"/>
    <n v="7"/>
    <n v="6"/>
    <x v="4"/>
    <n v="7"/>
  </r>
  <r>
    <n v="37"/>
    <x v="1"/>
    <x v="2"/>
    <n v="1252"/>
    <x v="0"/>
    <x v="10"/>
    <x v="0"/>
    <s v="Medical"/>
    <n v="1"/>
    <n v="904"/>
    <n v="1"/>
    <x v="1"/>
    <n v="32"/>
    <x v="0"/>
    <n v="3"/>
    <x v="0"/>
    <n v="2"/>
    <x v="0"/>
    <n v="7642"/>
    <n v="4814"/>
    <n v="1"/>
    <s v="Y"/>
    <x v="0"/>
    <n v="13"/>
    <x v="0"/>
    <n v="4"/>
    <n v="80"/>
    <x v="0"/>
    <n v="10"/>
    <x v="2"/>
    <x v="1"/>
    <n v="10"/>
    <n v="0"/>
    <x v="0"/>
    <n v="9"/>
  </r>
  <r>
    <n v="50"/>
    <x v="1"/>
    <x v="2"/>
    <n v="881"/>
    <x v="1"/>
    <x v="2"/>
    <x v="2"/>
    <s v="Life Sciences"/>
    <n v="1"/>
    <n v="905"/>
    <n v="1"/>
    <x v="1"/>
    <n v="98"/>
    <x v="0"/>
    <n v="4"/>
    <x v="5"/>
    <n v="1"/>
    <x v="2"/>
    <n v="17924"/>
    <n v="4544"/>
    <n v="1"/>
    <s v="Y"/>
    <x v="1"/>
    <n v="11"/>
    <x v="0"/>
    <n v="4"/>
    <n v="80"/>
    <x v="1"/>
    <n v="31"/>
    <x v="1"/>
    <x v="1"/>
    <n v="31"/>
    <n v="6"/>
    <x v="15"/>
    <n v="7"/>
  </r>
  <r>
    <n v="39"/>
    <x v="1"/>
    <x v="0"/>
    <n v="1383"/>
    <x v="2"/>
    <x v="2"/>
    <x v="3"/>
    <s v="Life Sciences"/>
    <n v="1"/>
    <n v="909"/>
    <n v="4"/>
    <x v="0"/>
    <n v="42"/>
    <x v="1"/>
    <n v="2"/>
    <x v="8"/>
    <n v="4"/>
    <x v="1"/>
    <n v="5204"/>
    <n v="7790"/>
    <n v="8"/>
    <s v="Y"/>
    <x v="1"/>
    <n v="11"/>
    <x v="0"/>
    <n v="3"/>
    <n v="80"/>
    <x v="3"/>
    <n v="13"/>
    <x v="2"/>
    <x v="1"/>
    <n v="5"/>
    <n v="4"/>
    <x v="0"/>
    <n v="4"/>
  </r>
  <r>
    <n v="33"/>
    <x v="1"/>
    <x v="0"/>
    <n v="1075"/>
    <x v="2"/>
    <x v="3"/>
    <x v="0"/>
    <s v="Human Resources"/>
    <n v="1"/>
    <n v="910"/>
    <n v="4"/>
    <x v="1"/>
    <n v="57"/>
    <x v="0"/>
    <n v="1"/>
    <x v="8"/>
    <n v="2"/>
    <x v="2"/>
    <n v="2277"/>
    <n v="22650"/>
    <n v="3"/>
    <s v="Y"/>
    <x v="0"/>
    <n v="11"/>
    <x v="0"/>
    <n v="3"/>
    <n v="80"/>
    <x v="1"/>
    <n v="7"/>
    <x v="5"/>
    <x v="3"/>
    <n v="4"/>
    <n v="3"/>
    <x v="0"/>
    <n v="3"/>
  </r>
  <r>
    <n v="32"/>
    <x v="0"/>
    <x v="0"/>
    <n v="374"/>
    <x v="1"/>
    <x v="19"/>
    <x v="2"/>
    <s v="Life Sciences"/>
    <n v="1"/>
    <n v="911"/>
    <n v="1"/>
    <x v="1"/>
    <n v="87"/>
    <x v="0"/>
    <n v="1"/>
    <x v="2"/>
    <n v="4"/>
    <x v="0"/>
    <n v="2795"/>
    <n v="18016"/>
    <n v="1"/>
    <s v="Y"/>
    <x v="0"/>
    <n v="24"/>
    <x v="1"/>
    <n v="3"/>
    <n v="80"/>
    <x v="0"/>
    <n v="1"/>
    <x v="2"/>
    <x v="0"/>
    <n v="1"/>
    <n v="0"/>
    <x v="0"/>
    <n v="1"/>
  </r>
  <r>
    <n v="29"/>
    <x v="1"/>
    <x v="0"/>
    <n v="1086"/>
    <x v="1"/>
    <x v="15"/>
    <x v="1"/>
    <s v="Medical"/>
    <n v="1"/>
    <n v="912"/>
    <n v="1"/>
    <x v="0"/>
    <n v="62"/>
    <x v="1"/>
    <n v="1"/>
    <x v="2"/>
    <n v="4"/>
    <x v="2"/>
    <n v="2532"/>
    <n v="6054"/>
    <n v="6"/>
    <s v="Y"/>
    <x v="1"/>
    <n v="14"/>
    <x v="0"/>
    <n v="3"/>
    <n v="80"/>
    <x v="2"/>
    <n v="8"/>
    <x v="3"/>
    <x v="1"/>
    <n v="4"/>
    <n v="3"/>
    <x v="0"/>
    <n v="3"/>
  </r>
  <r>
    <n v="44"/>
    <x v="1"/>
    <x v="0"/>
    <n v="661"/>
    <x v="1"/>
    <x v="14"/>
    <x v="0"/>
    <s v="Life Sciences"/>
    <n v="1"/>
    <n v="913"/>
    <n v="2"/>
    <x v="1"/>
    <n v="61"/>
    <x v="0"/>
    <n v="1"/>
    <x v="1"/>
    <n v="1"/>
    <x v="1"/>
    <n v="2559"/>
    <n v="7508"/>
    <n v="1"/>
    <s v="Y"/>
    <x v="0"/>
    <n v="13"/>
    <x v="0"/>
    <n v="4"/>
    <n v="80"/>
    <x v="0"/>
    <n v="8"/>
    <x v="0"/>
    <x v="1"/>
    <n v="8"/>
    <n v="7"/>
    <x v="4"/>
    <n v="1"/>
  </r>
  <r>
    <n v="28"/>
    <x v="1"/>
    <x v="0"/>
    <n v="821"/>
    <x v="0"/>
    <x v="12"/>
    <x v="2"/>
    <s v="Medical"/>
    <n v="1"/>
    <n v="916"/>
    <n v="1"/>
    <x v="1"/>
    <n v="98"/>
    <x v="0"/>
    <n v="2"/>
    <x v="0"/>
    <n v="4"/>
    <x v="0"/>
    <n v="4908"/>
    <n v="24252"/>
    <n v="1"/>
    <s v="Y"/>
    <x v="1"/>
    <n v="14"/>
    <x v="0"/>
    <n v="2"/>
    <n v="80"/>
    <x v="0"/>
    <n v="4"/>
    <x v="1"/>
    <x v="1"/>
    <n v="4"/>
    <n v="2"/>
    <x v="0"/>
    <n v="2"/>
  </r>
  <r>
    <n v="58"/>
    <x v="0"/>
    <x v="1"/>
    <n v="781"/>
    <x v="1"/>
    <x v="2"/>
    <x v="1"/>
    <s v="Life Sciences"/>
    <n v="1"/>
    <n v="918"/>
    <n v="4"/>
    <x v="1"/>
    <n v="57"/>
    <x v="1"/>
    <n v="1"/>
    <x v="2"/>
    <n v="4"/>
    <x v="2"/>
    <n v="2380"/>
    <n v="13384"/>
    <n v="9"/>
    <s v="Y"/>
    <x v="0"/>
    <n v="14"/>
    <x v="0"/>
    <n v="4"/>
    <n v="80"/>
    <x v="1"/>
    <n v="3"/>
    <x v="1"/>
    <x v="2"/>
    <n v="1"/>
    <n v="0"/>
    <x v="0"/>
    <n v="0"/>
  </r>
  <r>
    <n v="43"/>
    <x v="1"/>
    <x v="0"/>
    <n v="177"/>
    <x v="1"/>
    <x v="1"/>
    <x v="3"/>
    <s v="Life Sciences"/>
    <n v="1"/>
    <n v="920"/>
    <n v="1"/>
    <x v="0"/>
    <n v="55"/>
    <x v="0"/>
    <n v="2"/>
    <x v="3"/>
    <n v="2"/>
    <x v="2"/>
    <n v="4765"/>
    <n v="23814"/>
    <n v="4"/>
    <s v="Y"/>
    <x v="1"/>
    <n v="21"/>
    <x v="1"/>
    <n v="3"/>
    <n v="80"/>
    <x v="1"/>
    <n v="4"/>
    <x v="2"/>
    <x v="3"/>
    <n v="1"/>
    <n v="0"/>
    <x v="0"/>
    <n v="0"/>
  </r>
  <r>
    <n v="20"/>
    <x v="0"/>
    <x v="0"/>
    <n v="500"/>
    <x v="0"/>
    <x v="2"/>
    <x v="3"/>
    <s v="Medical"/>
    <n v="1"/>
    <n v="922"/>
    <n v="3"/>
    <x v="0"/>
    <n v="49"/>
    <x v="1"/>
    <n v="1"/>
    <x v="6"/>
    <n v="3"/>
    <x v="0"/>
    <n v="2044"/>
    <n v="22052"/>
    <n v="1"/>
    <s v="Y"/>
    <x v="1"/>
    <n v="13"/>
    <x v="0"/>
    <n v="4"/>
    <n v="80"/>
    <x v="0"/>
    <n v="2"/>
    <x v="1"/>
    <x v="2"/>
    <n v="2"/>
    <n v="2"/>
    <x v="0"/>
    <n v="2"/>
  </r>
  <r>
    <n v="21"/>
    <x v="0"/>
    <x v="0"/>
    <n v="1427"/>
    <x v="1"/>
    <x v="21"/>
    <x v="1"/>
    <s v="Other"/>
    <n v="1"/>
    <n v="923"/>
    <n v="4"/>
    <x v="0"/>
    <n v="65"/>
    <x v="0"/>
    <n v="1"/>
    <x v="1"/>
    <n v="4"/>
    <x v="0"/>
    <n v="2693"/>
    <n v="8870"/>
    <n v="1"/>
    <s v="Y"/>
    <x v="1"/>
    <n v="19"/>
    <x v="0"/>
    <n v="1"/>
    <n v="80"/>
    <x v="0"/>
    <n v="1"/>
    <x v="1"/>
    <x v="2"/>
    <n v="1"/>
    <n v="0"/>
    <x v="0"/>
    <n v="0"/>
  </r>
  <r>
    <n v="36"/>
    <x v="1"/>
    <x v="0"/>
    <n v="1425"/>
    <x v="1"/>
    <x v="24"/>
    <x v="1"/>
    <s v="Life Sciences"/>
    <n v="1"/>
    <n v="924"/>
    <n v="3"/>
    <x v="1"/>
    <n v="68"/>
    <x v="0"/>
    <n v="2"/>
    <x v="4"/>
    <n v="4"/>
    <x v="1"/>
    <n v="6586"/>
    <n v="4821"/>
    <n v="0"/>
    <s v="Y"/>
    <x v="0"/>
    <n v="17"/>
    <x v="0"/>
    <n v="1"/>
    <n v="80"/>
    <x v="1"/>
    <n v="17"/>
    <x v="2"/>
    <x v="2"/>
    <n v="16"/>
    <n v="8"/>
    <x v="5"/>
    <n v="11"/>
  </r>
  <r>
    <n v="47"/>
    <x v="1"/>
    <x v="0"/>
    <n v="1454"/>
    <x v="0"/>
    <x v="2"/>
    <x v="2"/>
    <s v="Life Sciences"/>
    <n v="1"/>
    <n v="925"/>
    <n v="4"/>
    <x v="0"/>
    <n v="65"/>
    <x v="1"/>
    <n v="1"/>
    <x v="6"/>
    <n v="4"/>
    <x v="0"/>
    <n v="3294"/>
    <n v="13137"/>
    <n v="1"/>
    <s v="Y"/>
    <x v="0"/>
    <n v="18"/>
    <x v="0"/>
    <n v="1"/>
    <n v="80"/>
    <x v="0"/>
    <n v="3"/>
    <x v="1"/>
    <x v="2"/>
    <n v="3"/>
    <n v="2"/>
    <x v="1"/>
    <n v="2"/>
  </r>
  <r>
    <n v="22"/>
    <x v="0"/>
    <x v="0"/>
    <n v="617"/>
    <x v="1"/>
    <x v="3"/>
    <x v="1"/>
    <s v="Life Sciences"/>
    <n v="1"/>
    <n v="926"/>
    <n v="2"/>
    <x v="0"/>
    <n v="34"/>
    <x v="0"/>
    <n v="2"/>
    <x v="3"/>
    <n v="3"/>
    <x v="1"/>
    <n v="4171"/>
    <n v="10022"/>
    <n v="0"/>
    <s v="Y"/>
    <x v="0"/>
    <n v="19"/>
    <x v="0"/>
    <n v="1"/>
    <n v="80"/>
    <x v="1"/>
    <n v="4"/>
    <x v="1"/>
    <x v="3"/>
    <n v="3"/>
    <n v="2"/>
    <x v="0"/>
    <n v="2"/>
  </r>
  <r>
    <n v="41"/>
    <x v="0"/>
    <x v="0"/>
    <n v="1085"/>
    <x v="1"/>
    <x v="2"/>
    <x v="2"/>
    <s v="Life Sciences"/>
    <n v="1"/>
    <n v="927"/>
    <n v="2"/>
    <x v="0"/>
    <n v="57"/>
    <x v="3"/>
    <n v="1"/>
    <x v="2"/>
    <n v="4"/>
    <x v="2"/>
    <n v="2778"/>
    <n v="17725"/>
    <n v="4"/>
    <s v="Y"/>
    <x v="0"/>
    <n v="13"/>
    <x v="0"/>
    <n v="3"/>
    <n v="80"/>
    <x v="1"/>
    <n v="10"/>
    <x v="4"/>
    <x v="2"/>
    <n v="7"/>
    <n v="7"/>
    <x v="1"/>
    <n v="0"/>
  </r>
  <r>
    <n v="28"/>
    <x v="1"/>
    <x v="0"/>
    <n v="995"/>
    <x v="1"/>
    <x v="14"/>
    <x v="3"/>
    <s v="Medical"/>
    <n v="1"/>
    <n v="930"/>
    <n v="3"/>
    <x v="0"/>
    <n v="77"/>
    <x v="0"/>
    <n v="1"/>
    <x v="1"/>
    <n v="3"/>
    <x v="2"/>
    <n v="2377"/>
    <n v="9834"/>
    <n v="5"/>
    <s v="Y"/>
    <x v="1"/>
    <n v="18"/>
    <x v="0"/>
    <n v="2"/>
    <n v="80"/>
    <x v="1"/>
    <n v="6"/>
    <x v="2"/>
    <x v="1"/>
    <n v="2"/>
    <n v="2"/>
    <x v="3"/>
    <n v="2"/>
  </r>
  <r>
    <n v="39"/>
    <x v="0"/>
    <x v="0"/>
    <n v="1122"/>
    <x v="1"/>
    <x v="16"/>
    <x v="3"/>
    <s v="Medical"/>
    <n v="1"/>
    <n v="932"/>
    <n v="4"/>
    <x v="1"/>
    <n v="70"/>
    <x v="0"/>
    <n v="1"/>
    <x v="2"/>
    <n v="1"/>
    <x v="1"/>
    <n v="2404"/>
    <n v="4303"/>
    <n v="7"/>
    <s v="Y"/>
    <x v="0"/>
    <n v="21"/>
    <x v="1"/>
    <n v="4"/>
    <n v="80"/>
    <x v="0"/>
    <n v="8"/>
    <x v="2"/>
    <x v="0"/>
    <n v="2"/>
    <n v="2"/>
    <x v="3"/>
    <n v="2"/>
  </r>
  <r>
    <n v="27"/>
    <x v="1"/>
    <x v="0"/>
    <n v="618"/>
    <x v="1"/>
    <x v="18"/>
    <x v="3"/>
    <s v="Life Sciences"/>
    <n v="1"/>
    <n v="933"/>
    <n v="2"/>
    <x v="0"/>
    <n v="76"/>
    <x v="0"/>
    <n v="1"/>
    <x v="1"/>
    <n v="3"/>
    <x v="0"/>
    <n v="2318"/>
    <n v="17808"/>
    <n v="1"/>
    <s v="Y"/>
    <x v="1"/>
    <n v="19"/>
    <x v="0"/>
    <n v="3"/>
    <n v="80"/>
    <x v="0"/>
    <n v="1"/>
    <x v="2"/>
    <x v="1"/>
    <n v="1"/>
    <n v="1"/>
    <x v="0"/>
    <n v="0"/>
  </r>
  <r>
    <n v="34"/>
    <x v="1"/>
    <x v="0"/>
    <n v="546"/>
    <x v="1"/>
    <x v="17"/>
    <x v="3"/>
    <s v="Life Sciences"/>
    <n v="1"/>
    <n v="934"/>
    <n v="2"/>
    <x v="1"/>
    <n v="83"/>
    <x v="0"/>
    <n v="1"/>
    <x v="2"/>
    <n v="2"/>
    <x v="2"/>
    <n v="2008"/>
    <n v="6896"/>
    <n v="1"/>
    <s v="Y"/>
    <x v="1"/>
    <n v="14"/>
    <x v="0"/>
    <n v="2"/>
    <n v="80"/>
    <x v="3"/>
    <n v="1"/>
    <x v="1"/>
    <x v="1"/>
    <n v="1"/>
    <n v="0"/>
    <x v="1"/>
    <n v="0"/>
  </r>
  <r>
    <n v="42"/>
    <x v="1"/>
    <x v="0"/>
    <n v="462"/>
    <x v="0"/>
    <x v="24"/>
    <x v="0"/>
    <s v="Medical"/>
    <n v="1"/>
    <n v="936"/>
    <n v="3"/>
    <x v="0"/>
    <n v="68"/>
    <x v="1"/>
    <n v="2"/>
    <x v="0"/>
    <n v="3"/>
    <x v="0"/>
    <n v="6244"/>
    <n v="7824"/>
    <n v="7"/>
    <s v="Y"/>
    <x v="1"/>
    <n v="17"/>
    <x v="0"/>
    <n v="1"/>
    <n v="80"/>
    <x v="0"/>
    <n v="10"/>
    <x v="6"/>
    <x v="1"/>
    <n v="5"/>
    <n v="4"/>
    <x v="0"/>
    <n v="3"/>
  </r>
  <r>
    <n v="33"/>
    <x v="1"/>
    <x v="0"/>
    <n v="1198"/>
    <x v="1"/>
    <x v="0"/>
    <x v="2"/>
    <s v="Other"/>
    <n v="1"/>
    <n v="939"/>
    <n v="3"/>
    <x v="1"/>
    <n v="100"/>
    <x v="1"/>
    <n v="1"/>
    <x v="1"/>
    <n v="1"/>
    <x v="0"/>
    <n v="2799"/>
    <n v="3339"/>
    <n v="3"/>
    <s v="Y"/>
    <x v="0"/>
    <n v="11"/>
    <x v="0"/>
    <n v="2"/>
    <n v="80"/>
    <x v="0"/>
    <n v="6"/>
    <x v="4"/>
    <x v="1"/>
    <n v="3"/>
    <n v="2"/>
    <x v="0"/>
    <n v="2"/>
  </r>
  <r>
    <n v="58"/>
    <x v="1"/>
    <x v="0"/>
    <n v="1272"/>
    <x v="1"/>
    <x v="12"/>
    <x v="3"/>
    <s v="Technical Degree"/>
    <n v="1"/>
    <n v="940"/>
    <n v="3"/>
    <x v="0"/>
    <n v="37"/>
    <x v="1"/>
    <n v="3"/>
    <x v="4"/>
    <n v="2"/>
    <x v="2"/>
    <n v="10552"/>
    <n v="9255"/>
    <n v="2"/>
    <s v="Y"/>
    <x v="0"/>
    <n v="13"/>
    <x v="0"/>
    <n v="4"/>
    <n v="80"/>
    <x v="1"/>
    <n v="24"/>
    <x v="1"/>
    <x v="1"/>
    <n v="6"/>
    <n v="0"/>
    <x v="0"/>
    <n v="4"/>
  </r>
  <r>
    <n v="31"/>
    <x v="1"/>
    <x v="0"/>
    <n v="154"/>
    <x v="0"/>
    <x v="15"/>
    <x v="2"/>
    <s v="Life Sciences"/>
    <n v="1"/>
    <n v="941"/>
    <n v="2"/>
    <x v="1"/>
    <n v="41"/>
    <x v="1"/>
    <n v="1"/>
    <x v="6"/>
    <n v="3"/>
    <x v="1"/>
    <n v="2329"/>
    <n v="11737"/>
    <n v="3"/>
    <s v="Y"/>
    <x v="1"/>
    <n v="15"/>
    <x v="0"/>
    <n v="2"/>
    <n v="80"/>
    <x v="0"/>
    <n v="13"/>
    <x v="2"/>
    <x v="3"/>
    <n v="7"/>
    <n v="7"/>
    <x v="8"/>
    <n v="2"/>
  </r>
  <r>
    <n v="35"/>
    <x v="1"/>
    <x v="0"/>
    <n v="1137"/>
    <x v="1"/>
    <x v="11"/>
    <x v="1"/>
    <s v="Life Sciences"/>
    <n v="1"/>
    <n v="942"/>
    <n v="4"/>
    <x v="0"/>
    <n v="51"/>
    <x v="0"/>
    <n v="2"/>
    <x v="4"/>
    <n v="4"/>
    <x v="1"/>
    <n v="4014"/>
    <n v="19170"/>
    <n v="1"/>
    <s v="Y"/>
    <x v="0"/>
    <n v="25"/>
    <x v="1"/>
    <n v="4"/>
    <n v="80"/>
    <x v="1"/>
    <n v="10"/>
    <x v="2"/>
    <x v="0"/>
    <n v="10"/>
    <n v="6"/>
    <x v="0"/>
    <n v="7"/>
  </r>
  <r>
    <n v="49"/>
    <x v="1"/>
    <x v="0"/>
    <n v="527"/>
    <x v="1"/>
    <x v="1"/>
    <x v="0"/>
    <s v="Other"/>
    <n v="1"/>
    <n v="944"/>
    <n v="1"/>
    <x v="0"/>
    <n v="51"/>
    <x v="0"/>
    <n v="3"/>
    <x v="2"/>
    <n v="2"/>
    <x v="1"/>
    <n v="7403"/>
    <n v="22477"/>
    <n v="4"/>
    <s v="Y"/>
    <x v="1"/>
    <n v="11"/>
    <x v="0"/>
    <n v="3"/>
    <n v="80"/>
    <x v="1"/>
    <n v="29"/>
    <x v="1"/>
    <x v="2"/>
    <n v="26"/>
    <n v="9"/>
    <x v="1"/>
    <n v="7"/>
  </r>
  <r>
    <n v="48"/>
    <x v="1"/>
    <x v="0"/>
    <n v="1469"/>
    <x v="1"/>
    <x v="25"/>
    <x v="2"/>
    <s v="Medical"/>
    <n v="1"/>
    <n v="945"/>
    <n v="4"/>
    <x v="1"/>
    <n v="51"/>
    <x v="0"/>
    <n v="1"/>
    <x v="1"/>
    <n v="3"/>
    <x v="1"/>
    <n v="2259"/>
    <n v="5543"/>
    <n v="4"/>
    <s v="Y"/>
    <x v="1"/>
    <n v="17"/>
    <x v="0"/>
    <n v="1"/>
    <n v="80"/>
    <x v="3"/>
    <n v="13"/>
    <x v="2"/>
    <x v="2"/>
    <n v="0"/>
    <n v="0"/>
    <x v="0"/>
    <n v="0"/>
  </r>
  <r>
    <n v="31"/>
    <x v="1"/>
    <x v="2"/>
    <n v="1188"/>
    <x v="0"/>
    <x v="25"/>
    <x v="0"/>
    <s v="Marketing"/>
    <n v="1"/>
    <n v="947"/>
    <n v="4"/>
    <x v="0"/>
    <n v="45"/>
    <x v="0"/>
    <n v="2"/>
    <x v="0"/>
    <n v="3"/>
    <x v="1"/>
    <n v="6932"/>
    <n v="24406"/>
    <n v="1"/>
    <s v="Y"/>
    <x v="1"/>
    <n v="13"/>
    <x v="0"/>
    <n v="4"/>
    <n v="80"/>
    <x v="1"/>
    <n v="9"/>
    <x v="2"/>
    <x v="2"/>
    <n v="9"/>
    <n v="8"/>
    <x v="0"/>
    <n v="0"/>
  </r>
  <r>
    <n v="36"/>
    <x v="1"/>
    <x v="0"/>
    <n v="188"/>
    <x v="1"/>
    <x v="15"/>
    <x v="2"/>
    <s v="Other"/>
    <n v="1"/>
    <n v="949"/>
    <n v="2"/>
    <x v="1"/>
    <n v="65"/>
    <x v="0"/>
    <n v="1"/>
    <x v="1"/>
    <n v="4"/>
    <x v="0"/>
    <n v="4678"/>
    <n v="23293"/>
    <n v="2"/>
    <s v="Y"/>
    <x v="1"/>
    <n v="18"/>
    <x v="0"/>
    <n v="3"/>
    <n v="80"/>
    <x v="0"/>
    <n v="8"/>
    <x v="6"/>
    <x v="1"/>
    <n v="6"/>
    <n v="2"/>
    <x v="0"/>
    <n v="1"/>
  </r>
  <r>
    <n v="38"/>
    <x v="1"/>
    <x v="0"/>
    <n v="1333"/>
    <x v="1"/>
    <x v="0"/>
    <x v="3"/>
    <s v="Technical Degree"/>
    <n v="1"/>
    <n v="950"/>
    <n v="4"/>
    <x v="0"/>
    <n v="80"/>
    <x v="0"/>
    <n v="3"/>
    <x v="7"/>
    <n v="1"/>
    <x v="1"/>
    <n v="13582"/>
    <n v="16292"/>
    <n v="1"/>
    <s v="Y"/>
    <x v="1"/>
    <n v="13"/>
    <x v="0"/>
    <n v="2"/>
    <n v="80"/>
    <x v="1"/>
    <n v="15"/>
    <x v="1"/>
    <x v="1"/>
    <n v="15"/>
    <n v="12"/>
    <x v="8"/>
    <n v="11"/>
  </r>
  <r>
    <n v="32"/>
    <x v="1"/>
    <x v="2"/>
    <n v="1184"/>
    <x v="1"/>
    <x v="0"/>
    <x v="3"/>
    <s v="Life Sciences"/>
    <n v="1"/>
    <n v="951"/>
    <n v="3"/>
    <x v="0"/>
    <n v="70"/>
    <x v="1"/>
    <n v="1"/>
    <x v="2"/>
    <n v="2"/>
    <x v="1"/>
    <n v="2332"/>
    <n v="3974"/>
    <n v="6"/>
    <s v="Y"/>
    <x v="1"/>
    <n v="20"/>
    <x v="1"/>
    <n v="3"/>
    <n v="80"/>
    <x v="0"/>
    <n v="5"/>
    <x v="1"/>
    <x v="1"/>
    <n v="3"/>
    <n v="0"/>
    <x v="0"/>
    <n v="2"/>
  </r>
  <r>
    <n v="25"/>
    <x v="0"/>
    <x v="0"/>
    <n v="867"/>
    <x v="0"/>
    <x v="10"/>
    <x v="0"/>
    <s v="Marketing"/>
    <n v="1"/>
    <n v="952"/>
    <n v="3"/>
    <x v="1"/>
    <n v="36"/>
    <x v="1"/>
    <n v="1"/>
    <x v="6"/>
    <n v="2"/>
    <x v="1"/>
    <n v="2413"/>
    <n v="18798"/>
    <n v="1"/>
    <s v="Y"/>
    <x v="0"/>
    <n v="18"/>
    <x v="0"/>
    <n v="3"/>
    <n v="80"/>
    <x v="2"/>
    <n v="1"/>
    <x v="2"/>
    <x v="1"/>
    <n v="1"/>
    <n v="0"/>
    <x v="0"/>
    <n v="0"/>
  </r>
  <r>
    <n v="40"/>
    <x v="1"/>
    <x v="0"/>
    <n v="658"/>
    <x v="0"/>
    <x v="17"/>
    <x v="2"/>
    <s v="Marketing"/>
    <n v="1"/>
    <n v="954"/>
    <n v="1"/>
    <x v="1"/>
    <n v="67"/>
    <x v="1"/>
    <n v="3"/>
    <x v="0"/>
    <n v="2"/>
    <x v="2"/>
    <n v="9705"/>
    <n v="20652"/>
    <n v="2"/>
    <s v="Y"/>
    <x v="1"/>
    <n v="12"/>
    <x v="0"/>
    <n v="2"/>
    <n v="80"/>
    <x v="1"/>
    <n v="11"/>
    <x v="2"/>
    <x v="2"/>
    <n v="1"/>
    <n v="0"/>
    <x v="0"/>
    <n v="0"/>
  </r>
  <r>
    <n v="26"/>
    <x v="1"/>
    <x v="1"/>
    <n v="1283"/>
    <x v="0"/>
    <x v="0"/>
    <x v="3"/>
    <s v="Medical"/>
    <n v="1"/>
    <n v="956"/>
    <n v="3"/>
    <x v="1"/>
    <n v="52"/>
    <x v="1"/>
    <n v="2"/>
    <x v="0"/>
    <n v="1"/>
    <x v="0"/>
    <n v="4294"/>
    <n v="11148"/>
    <n v="1"/>
    <s v="Y"/>
    <x v="1"/>
    <n v="12"/>
    <x v="0"/>
    <n v="2"/>
    <n v="80"/>
    <x v="0"/>
    <n v="7"/>
    <x v="2"/>
    <x v="1"/>
    <n v="7"/>
    <n v="7"/>
    <x v="0"/>
    <n v="7"/>
  </r>
  <r>
    <n v="41"/>
    <x v="1"/>
    <x v="0"/>
    <n v="263"/>
    <x v="1"/>
    <x v="16"/>
    <x v="3"/>
    <s v="Medical"/>
    <n v="1"/>
    <n v="957"/>
    <n v="4"/>
    <x v="1"/>
    <n v="59"/>
    <x v="0"/>
    <n v="1"/>
    <x v="2"/>
    <n v="1"/>
    <x v="0"/>
    <n v="4721"/>
    <n v="3119"/>
    <n v="2"/>
    <s v="Y"/>
    <x v="0"/>
    <n v="13"/>
    <x v="0"/>
    <n v="3"/>
    <n v="80"/>
    <x v="0"/>
    <n v="20"/>
    <x v="1"/>
    <x v="1"/>
    <n v="18"/>
    <n v="13"/>
    <x v="3"/>
    <n v="17"/>
  </r>
  <r>
    <n v="36"/>
    <x v="1"/>
    <x v="0"/>
    <n v="938"/>
    <x v="1"/>
    <x v="2"/>
    <x v="2"/>
    <s v="Medical"/>
    <n v="1"/>
    <n v="958"/>
    <n v="3"/>
    <x v="1"/>
    <n v="79"/>
    <x v="0"/>
    <n v="1"/>
    <x v="2"/>
    <n v="3"/>
    <x v="0"/>
    <n v="2519"/>
    <n v="12287"/>
    <n v="4"/>
    <s v="Y"/>
    <x v="1"/>
    <n v="21"/>
    <x v="1"/>
    <n v="3"/>
    <n v="80"/>
    <x v="0"/>
    <n v="16"/>
    <x v="6"/>
    <x v="1"/>
    <n v="11"/>
    <n v="8"/>
    <x v="2"/>
    <n v="9"/>
  </r>
  <r>
    <n v="19"/>
    <x v="0"/>
    <x v="0"/>
    <n v="419"/>
    <x v="0"/>
    <x v="11"/>
    <x v="3"/>
    <s v="Other"/>
    <n v="1"/>
    <n v="959"/>
    <n v="4"/>
    <x v="1"/>
    <n v="37"/>
    <x v="1"/>
    <n v="1"/>
    <x v="6"/>
    <n v="2"/>
    <x v="0"/>
    <n v="2121"/>
    <n v="9947"/>
    <n v="1"/>
    <s v="Y"/>
    <x v="0"/>
    <n v="13"/>
    <x v="0"/>
    <n v="2"/>
    <n v="80"/>
    <x v="0"/>
    <n v="1"/>
    <x v="1"/>
    <x v="3"/>
    <n v="1"/>
    <n v="0"/>
    <x v="0"/>
    <n v="0"/>
  </r>
  <r>
    <n v="20"/>
    <x v="0"/>
    <x v="0"/>
    <n v="129"/>
    <x v="1"/>
    <x v="18"/>
    <x v="3"/>
    <s v="Technical Degree"/>
    <n v="1"/>
    <n v="960"/>
    <n v="1"/>
    <x v="1"/>
    <n v="84"/>
    <x v="0"/>
    <n v="1"/>
    <x v="2"/>
    <n v="1"/>
    <x v="0"/>
    <n v="2973"/>
    <n v="13008"/>
    <n v="1"/>
    <s v="Y"/>
    <x v="1"/>
    <n v="19"/>
    <x v="0"/>
    <n v="2"/>
    <n v="80"/>
    <x v="0"/>
    <n v="1"/>
    <x v="2"/>
    <x v="1"/>
    <n v="1"/>
    <n v="0"/>
    <x v="0"/>
    <n v="0"/>
  </r>
  <r>
    <n v="31"/>
    <x v="1"/>
    <x v="0"/>
    <n v="616"/>
    <x v="1"/>
    <x v="20"/>
    <x v="3"/>
    <s v="Medical"/>
    <n v="1"/>
    <n v="961"/>
    <n v="4"/>
    <x v="0"/>
    <n v="41"/>
    <x v="0"/>
    <n v="2"/>
    <x v="4"/>
    <n v="4"/>
    <x v="1"/>
    <n v="5855"/>
    <n v="17369"/>
    <n v="0"/>
    <s v="Y"/>
    <x v="0"/>
    <n v="11"/>
    <x v="0"/>
    <n v="3"/>
    <n v="80"/>
    <x v="3"/>
    <n v="10"/>
    <x v="2"/>
    <x v="0"/>
    <n v="9"/>
    <n v="7"/>
    <x v="6"/>
    <n v="5"/>
  </r>
  <r>
    <n v="40"/>
    <x v="1"/>
    <x v="1"/>
    <n v="1469"/>
    <x v="1"/>
    <x v="14"/>
    <x v="2"/>
    <s v="Medical"/>
    <n v="1"/>
    <n v="964"/>
    <n v="4"/>
    <x v="1"/>
    <n v="35"/>
    <x v="0"/>
    <n v="1"/>
    <x v="1"/>
    <n v="2"/>
    <x v="2"/>
    <n v="3617"/>
    <n v="25063"/>
    <n v="8"/>
    <s v="Y"/>
    <x v="0"/>
    <n v="14"/>
    <x v="0"/>
    <n v="4"/>
    <n v="80"/>
    <x v="1"/>
    <n v="3"/>
    <x v="2"/>
    <x v="1"/>
    <n v="1"/>
    <n v="1"/>
    <x v="0"/>
    <n v="0"/>
  </r>
  <r>
    <n v="32"/>
    <x v="1"/>
    <x v="0"/>
    <n v="498"/>
    <x v="1"/>
    <x v="3"/>
    <x v="2"/>
    <s v="Medical"/>
    <n v="1"/>
    <n v="966"/>
    <n v="3"/>
    <x v="0"/>
    <n v="93"/>
    <x v="0"/>
    <n v="2"/>
    <x v="3"/>
    <n v="1"/>
    <x v="1"/>
    <n v="6725"/>
    <n v="13554"/>
    <n v="1"/>
    <s v="Y"/>
    <x v="1"/>
    <n v="12"/>
    <x v="0"/>
    <n v="3"/>
    <n v="80"/>
    <x v="1"/>
    <n v="8"/>
    <x v="2"/>
    <x v="3"/>
    <n v="8"/>
    <n v="7"/>
    <x v="7"/>
    <n v="3"/>
  </r>
  <r>
    <n v="36"/>
    <x v="0"/>
    <x v="0"/>
    <n v="530"/>
    <x v="0"/>
    <x v="3"/>
    <x v="1"/>
    <s v="Life Sciences"/>
    <n v="1"/>
    <n v="967"/>
    <n v="3"/>
    <x v="1"/>
    <n v="51"/>
    <x v="1"/>
    <n v="3"/>
    <x v="0"/>
    <n v="4"/>
    <x v="1"/>
    <n v="10325"/>
    <n v="5518"/>
    <n v="1"/>
    <s v="Y"/>
    <x v="0"/>
    <n v="11"/>
    <x v="0"/>
    <n v="1"/>
    <n v="80"/>
    <x v="1"/>
    <n v="16"/>
    <x v="6"/>
    <x v="1"/>
    <n v="16"/>
    <n v="7"/>
    <x v="2"/>
    <n v="7"/>
  </r>
  <r>
    <n v="33"/>
    <x v="1"/>
    <x v="0"/>
    <n v="1069"/>
    <x v="1"/>
    <x v="0"/>
    <x v="3"/>
    <s v="Life Sciences"/>
    <n v="1"/>
    <n v="969"/>
    <n v="2"/>
    <x v="0"/>
    <n v="42"/>
    <x v="1"/>
    <n v="2"/>
    <x v="4"/>
    <n v="4"/>
    <x v="0"/>
    <n v="6949"/>
    <n v="12291"/>
    <n v="0"/>
    <s v="Y"/>
    <x v="1"/>
    <n v="14"/>
    <x v="0"/>
    <n v="1"/>
    <n v="80"/>
    <x v="0"/>
    <n v="6"/>
    <x v="1"/>
    <x v="1"/>
    <n v="5"/>
    <n v="0"/>
    <x v="1"/>
    <n v="4"/>
  </r>
  <r>
    <n v="37"/>
    <x v="0"/>
    <x v="0"/>
    <n v="625"/>
    <x v="0"/>
    <x v="0"/>
    <x v="2"/>
    <s v="Life Sciences"/>
    <n v="1"/>
    <n v="970"/>
    <n v="1"/>
    <x v="1"/>
    <n v="46"/>
    <x v="1"/>
    <n v="3"/>
    <x v="0"/>
    <n v="3"/>
    <x v="1"/>
    <n v="10609"/>
    <n v="14922"/>
    <n v="5"/>
    <s v="Y"/>
    <x v="1"/>
    <n v="11"/>
    <x v="0"/>
    <n v="3"/>
    <n v="80"/>
    <x v="0"/>
    <n v="17"/>
    <x v="2"/>
    <x v="0"/>
    <n v="14"/>
    <n v="1"/>
    <x v="14"/>
    <n v="7"/>
  </r>
  <r>
    <n v="45"/>
    <x v="1"/>
    <x v="2"/>
    <n v="805"/>
    <x v="1"/>
    <x v="18"/>
    <x v="0"/>
    <s v="Life Sciences"/>
    <n v="1"/>
    <n v="972"/>
    <n v="3"/>
    <x v="1"/>
    <n v="57"/>
    <x v="0"/>
    <n v="2"/>
    <x v="2"/>
    <n v="2"/>
    <x v="1"/>
    <n v="4447"/>
    <n v="23163"/>
    <n v="1"/>
    <s v="Y"/>
    <x v="1"/>
    <n v="12"/>
    <x v="0"/>
    <n v="2"/>
    <n v="80"/>
    <x v="0"/>
    <n v="9"/>
    <x v="3"/>
    <x v="2"/>
    <n v="9"/>
    <n v="7"/>
    <x v="0"/>
    <n v="8"/>
  </r>
  <r>
    <n v="29"/>
    <x v="1"/>
    <x v="1"/>
    <n v="1404"/>
    <x v="0"/>
    <x v="25"/>
    <x v="3"/>
    <s v="Technical Degree"/>
    <n v="1"/>
    <n v="974"/>
    <n v="3"/>
    <x v="0"/>
    <n v="84"/>
    <x v="0"/>
    <n v="1"/>
    <x v="6"/>
    <n v="4"/>
    <x v="1"/>
    <n v="2157"/>
    <n v="18203"/>
    <n v="1"/>
    <s v="Y"/>
    <x v="1"/>
    <n v="15"/>
    <x v="0"/>
    <n v="2"/>
    <n v="80"/>
    <x v="1"/>
    <n v="3"/>
    <x v="3"/>
    <x v="1"/>
    <n v="3"/>
    <n v="1"/>
    <x v="0"/>
    <n v="2"/>
  </r>
  <r>
    <n v="35"/>
    <x v="1"/>
    <x v="0"/>
    <n v="1219"/>
    <x v="0"/>
    <x v="21"/>
    <x v="3"/>
    <s v="Medical"/>
    <n v="1"/>
    <n v="975"/>
    <n v="3"/>
    <x v="0"/>
    <n v="86"/>
    <x v="0"/>
    <n v="2"/>
    <x v="0"/>
    <n v="3"/>
    <x v="1"/>
    <n v="4601"/>
    <n v="6179"/>
    <n v="1"/>
    <s v="Y"/>
    <x v="1"/>
    <n v="16"/>
    <x v="0"/>
    <n v="2"/>
    <n v="80"/>
    <x v="0"/>
    <n v="5"/>
    <x v="1"/>
    <x v="1"/>
    <n v="5"/>
    <n v="2"/>
    <x v="1"/>
    <n v="0"/>
  </r>
  <r>
    <n v="52"/>
    <x v="1"/>
    <x v="0"/>
    <n v="1053"/>
    <x v="1"/>
    <x v="0"/>
    <x v="0"/>
    <s v="Life Sciences"/>
    <n v="1"/>
    <n v="976"/>
    <n v="4"/>
    <x v="1"/>
    <n v="70"/>
    <x v="0"/>
    <n v="4"/>
    <x v="5"/>
    <n v="4"/>
    <x v="1"/>
    <n v="17099"/>
    <n v="13829"/>
    <n v="2"/>
    <s v="Y"/>
    <x v="1"/>
    <n v="15"/>
    <x v="0"/>
    <n v="2"/>
    <n v="80"/>
    <x v="1"/>
    <n v="26"/>
    <x v="2"/>
    <x v="2"/>
    <n v="9"/>
    <n v="8"/>
    <x v="4"/>
    <n v="8"/>
  </r>
  <r>
    <n v="58"/>
    <x v="0"/>
    <x v="0"/>
    <n v="289"/>
    <x v="1"/>
    <x v="2"/>
    <x v="3"/>
    <s v="Technical Degree"/>
    <n v="1"/>
    <n v="977"/>
    <n v="4"/>
    <x v="1"/>
    <n v="51"/>
    <x v="0"/>
    <n v="1"/>
    <x v="1"/>
    <n v="3"/>
    <x v="0"/>
    <n v="2479"/>
    <n v="26227"/>
    <n v="4"/>
    <s v="Y"/>
    <x v="1"/>
    <n v="24"/>
    <x v="1"/>
    <n v="1"/>
    <n v="80"/>
    <x v="0"/>
    <n v="7"/>
    <x v="5"/>
    <x v="1"/>
    <n v="1"/>
    <n v="0"/>
    <x v="0"/>
    <n v="0"/>
  </r>
  <r>
    <n v="53"/>
    <x v="1"/>
    <x v="0"/>
    <n v="1376"/>
    <x v="0"/>
    <x v="2"/>
    <x v="0"/>
    <s v="Medical"/>
    <n v="1"/>
    <n v="981"/>
    <n v="3"/>
    <x v="1"/>
    <n v="45"/>
    <x v="0"/>
    <n v="4"/>
    <x v="5"/>
    <n v="3"/>
    <x v="2"/>
    <n v="14852"/>
    <n v="13938"/>
    <n v="6"/>
    <s v="Y"/>
    <x v="1"/>
    <n v="13"/>
    <x v="0"/>
    <n v="3"/>
    <n v="80"/>
    <x v="1"/>
    <n v="22"/>
    <x v="1"/>
    <x v="3"/>
    <n v="17"/>
    <n v="13"/>
    <x v="9"/>
    <n v="2"/>
  </r>
  <r>
    <n v="30"/>
    <x v="1"/>
    <x v="0"/>
    <n v="231"/>
    <x v="0"/>
    <x v="1"/>
    <x v="0"/>
    <s v="Other"/>
    <n v="1"/>
    <n v="982"/>
    <n v="3"/>
    <x v="1"/>
    <n v="62"/>
    <x v="0"/>
    <n v="3"/>
    <x v="0"/>
    <n v="3"/>
    <x v="2"/>
    <n v="7264"/>
    <n v="9977"/>
    <n v="5"/>
    <s v="Y"/>
    <x v="1"/>
    <n v="11"/>
    <x v="0"/>
    <n v="1"/>
    <n v="80"/>
    <x v="1"/>
    <n v="10"/>
    <x v="2"/>
    <x v="3"/>
    <n v="8"/>
    <n v="4"/>
    <x v="4"/>
    <n v="7"/>
  </r>
  <r>
    <n v="38"/>
    <x v="1"/>
    <x v="2"/>
    <n v="152"/>
    <x v="0"/>
    <x v="17"/>
    <x v="3"/>
    <s v="Technical Degree"/>
    <n v="1"/>
    <n v="983"/>
    <n v="3"/>
    <x v="0"/>
    <n v="85"/>
    <x v="0"/>
    <n v="2"/>
    <x v="0"/>
    <n v="4"/>
    <x v="0"/>
    <n v="5666"/>
    <n v="19899"/>
    <n v="1"/>
    <s v="Y"/>
    <x v="0"/>
    <n v="13"/>
    <x v="0"/>
    <n v="2"/>
    <n v="80"/>
    <x v="0"/>
    <n v="6"/>
    <x v="4"/>
    <x v="1"/>
    <n v="5"/>
    <n v="3"/>
    <x v="1"/>
    <n v="3"/>
  </r>
  <r>
    <n v="35"/>
    <x v="1"/>
    <x v="0"/>
    <n v="882"/>
    <x v="0"/>
    <x v="3"/>
    <x v="2"/>
    <s v="Life Sciences"/>
    <n v="1"/>
    <n v="984"/>
    <n v="4"/>
    <x v="1"/>
    <n v="92"/>
    <x v="0"/>
    <n v="3"/>
    <x v="0"/>
    <n v="4"/>
    <x v="2"/>
    <n v="7823"/>
    <n v="6812"/>
    <n v="6"/>
    <s v="Y"/>
    <x v="1"/>
    <n v="13"/>
    <x v="0"/>
    <n v="2"/>
    <n v="80"/>
    <x v="1"/>
    <n v="12"/>
    <x v="2"/>
    <x v="1"/>
    <n v="10"/>
    <n v="9"/>
    <x v="0"/>
    <n v="8"/>
  </r>
  <r>
    <n v="39"/>
    <x v="1"/>
    <x v="0"/>
    <n v="903"/>
    <x v="0"/>
    <x v="2"/>
    <x v="4"/>
    <s v="Life Sciences"/>
    <n v="1"/>
    <n v="985"/>
    <n v="1"/>
    <x v="1"/>
    <n v="41"/>
    <x v="2"/>
    <n v="3"/>
    <x v="0"/>
    <n v="3"/>
    <x v="0"/>
    <n v="7880"/>
    <n v="2560"/>
    <n v="0"/>
    <s v="Y"/>
    <x v="1"/>
    <n v="18"/>
    <x v="0"/>
    <n v="4"/>
    <n v="80"/>
    <x v="0"/>
    <n v="9"/>
    <x v="1"/>
    <x v="1"/>
    <n v="8"/>
    <n v="7"/>
    <x v="0"/>
    <n v="7"/>
  </r>
  <r>
    <n v="40"/>
    <x v="0"/>
    <x v="2"/>
    <n v="1479"/>
    <x v="0"/>
    <x v="4"/>
    <x v="3"/>
    <s v="Life Sciences"/>
    <n v="1"/>
    <n v="986"/>
    <n v="2"/>
    <x v="0"/>
    <n v="100"/>
    <x v="2"/>
    <n v="4"/>
    <x v="0"/>
    <n v="2"/>
    <x v="0"/>
    <n v="13194"/>
    <n v="17071"/>
    <n v="4"/>
    <s v="Y"/>
    <x v="0"/>
    <n v="16"/>
    <x v="0"/>
    <n v="4"/>
    <n v="80"/>
    <x v="0"/>
    <n v="22"/>
    <x v="2"/>
    <x v="2"/>
    <n v="1"/>
    <n v="0"/>
    <x v="0"/>
    <n v="0"/>
  </r>
  <r>
    <n v="47"/>
    <x v="1"/>
    <x v="1"/>
    <n v="1379"/>
    <x v="1"/>
    <x v="7"/>
    <x v="2"/>
    <s v="Medical"/>
    <n v="1"/>
    <n v="987"/>
    <n v="3"/>
    <x v="1"/>
    <n v="64"/>
    <x v="2"/>
    <n v="2"/>
    <x v="3"/>
    <n v="3"/>
    <x v="2"/>
    <n v="5067"/>
    <n v="6759"/>
    <n v="1"/>
    <s v="Y"/>
    <x v="0"/>
    <n v="19"/>
    <x v="0"/>
    <n v="3"/>
    <n v="80"/>
    <x v="0"/>
    <n v="20"/>
    <x v="1"/>
    <x v="3"/>
    <n v="19"/>
    <n v="10"/>
    <x v="3"/>
    <n v="7"/>
  </r>
  <r>
    <n v="36"/>
    <x v="1"/>
    <x v="2"/>
    <n v="1229"/>
    <x v="0"/>
    <x v="1"/>
    <x v="2"/>
    <s v="Technical Degree"/>
    <n v="1"/>
    <n v="990"/>
    <n v="1"/>
    <x v="1"/>
    <n v="84"/>
    <x v="0"/>
    <n v="2"/>
    <x v="0"/>
    <n v="4"/>
    <x v="2"/>
    <n v="5079"/>
    <n v="25952"/>
    <n v="4"/>
    <s v="Y"/>
    <x v="1"/>
    <n v="13"/>
    <x v="0"/>
    <n v="4"/>
    <n v="80"/>
    <x v="3"/>
    <n v="12"/>
    <x v="1"/>
    <x v="1"/>
    <n v="7"/>
    <n v="7"/>
    <x v="0"/>
    <n v="7"/>
  </r>
  <r>
    <n v="31"/>
    <x v="0"/>
    <x v="2"/>
    <n v="335"/>
    <x v="1"/>
    <x v="14"/>
    <x v="0"/>
    <s v="Medical"/>
    <n v="1"/>
    <n v="991"/>
    <n v="3"/>
    <x v="1"/>
    <n v="46"/>
    <x v="1"/>
    <n v="1"/>
    <x v="1"/>
    <n v="1"/>
    <x v="0"/>
    <n v="2321"/>
    <n v="10322"/>
    <n v="0"/>
    <s v="Y"/>
    <x v="0"/>
    <n v="22"/>
    <x v="1"/>
    <n v="1"/>
    <n v="80"/>
    <x v="0"/>
    <n v="4"/>
    <x v="0"/>
    <x v="1"/>
    <n v="3"/>
    <n v="2"/>
    <x v="1"/>
    <n v="2"/>
  </r>
  <r>
    <n v="33"/>
    <x v="1"/>
    <x v="2"/>
    <n v="722"/>
    <x v="0"/>
    <x v="27"/>
    <x v="3"/>
    <s v="Life Sciences"/>
    <n v="1"/>
    <n v="992"/>
    <n v="4"/>
    <x v="1"/>
    <n v="38"/>
    <x v="0"/>
    <n v="4"/>
    <x v="5"/>
    <n v="3"/>
    <x v="0"/>
    <n v="17444"/>
    <n v="20489"/>
    <n v="1"/>
    <s v="Y"/>
    <x v="1"/>
    <n v="11"/>
    <x v="0"/>
    <n v="4"/>
    <n v="80"/>
    <x v="0"/>
    <n v="10"/>
    <x v="2"/>
    <x v="1"/>
    <n v="10"/>
    <n v="8"/>
    <x v="7"/>
    <n v="0"/>
  </r>
  <r>
    <n v="29"/>
    <x v="0"/>
    <x v="0"/>
    <n v="906"/>
    <x v="1"/>
    <x v="17"/>
    <x v="3"/>
    <s v="Life Sciences"/>
    <n v="1"/>
    <n v="994"/>
    <n v="4"/>
    <x v="0"/>
    <n v="92"/>
    <x v="1"/>
    <n v="1"/>
    <x v="1"/>
    <n v="1"/>
    <x v="0"/>
    <n v="2404"/>
    <n v="11479"/>
    <n v="6"/>
    <s v="Y"/>
    <x v="0"/>
    <n v="20"/>
    <x v="1"/>
    <n v="3"/>
    <n v="80"/>
    <x v="0"/>
    <n v="3"/>
    <x v="3"/>
    <x v="1"/>
    <n v="0"/>
    <n v="0"/>
    <x v="0"/>
    <n v="0"/>
  </r>
  <r>
    <n v="33"/>
    <x v="1"/>
    <x v="0"/>
    <n v="461"/>
    <x v="1"/>
    <x v="28"/>
    <x v="1"/>
    <s v="Life Sciences"/>
    <n v="1"/>
    <n v="995"/>
    <n v="2"/>
    <x v="0"/>
    <n v="53"/>
    <x v="0"/>
    <n v="1"/>
    <x v="1"/>
    <n v="4"/>
    <x v="0"/>
    <n v="3452"/>
    <n v="17241"/>
    <n v="3"/>
    <s v="Y"/>
    <x v="1"/>
    <n v="18"/>
    <x v="0"/>
    <n v="1"/>
    <n v="80"/>
    <x v="0"/>
    <n v="5"/>
    <x v="5"/>
    <x v="1"/>
    <n v="3"/>
    <n v="2"/>
    <x v="0"/>
    <n v="2"/>
  </r>
  <r>
    <n v="45"/>
    <x v="1"/>
    <x v="0"/>
    <n v="974"/>
    <x v="1"/>
    <x v="0"/>
    <x v="2"/>
    <s v="Medical"/>
    <n v="1"/>
    <n v="996"/>
    <n v="4"/>
    <x v="0"/>
    <n v="91"/>
    <x v="0"/>
    <n v="1"/>
    <x v="2"/>
    <n v="4"/>
    <x v="2"/>
    <n v="2270"/>
    <n v="11005"/>
    <n v="3"/>
    <s v="Y"/>
    <x v="1"/>
    <n v="14"/>
    <x v="0"/>
    <n v="4"/>
    <n v="80"/>
    <x v="3"/>
    <n v="8"/>
    <x v="2"/>
    <x v="1"/>
    <n v="5"/>
    <n v="3"/>
    <x v="0"/>
    <n v="2"/>
  </r>
  <r>
    <n v="50"/>
    <x v="1"/>
    <x v="0"/>
    <n v="1126"/>
    <x v="1"/>
    <x v="0"/>
    <x v="0"/>
    <s v="Medical"/>
    <n v="1"/>
    <n v="997"/>
    <n v="4"/>
    <x v="1"/>
    <n v="66"/>
    <x v="0"/>
    <n v="4"/>
    <x v="7"/>
    <n v="4"/>
    <x v="2"/>
    <n v="17399"/>
    <n v="6615"/>
    <n v="9"/>
    <s v="Y"/>
    <x v="1"/>
    <n v="22"/>
    <x v="1"/>
    <n v="3"/>
    <n v="80"/>
    <x v="1"/>
    <n v="32"/>
    <x v="4"/>
    <x v="2"/>
    <n v="5"/>
    <n v="4"/>
    <x v="1"/>
    <n v="3"/>
  </r>
  <r>
    <n v="33"/>
    <x v="1"/>
    <x v="1"/>
    <n v="827"/>
    <x v="1"/>
    <x v="0"/>
    <x v="2"/>
    <s v="Other"/>
    <n v="1"/>
    <n v="998"/>
    <n v="3"/>
    <x v="0"/>
    <n v="84"/>
    <x v="2"/>
    <n v="2"/>
    <x v="4"/>
    <n v="2"/>
    <x v="1"/>
    <n v="5488"/>
    <n v="20161"/>
    <n v="1"/>
    <s v="Y"/>
    <x v="0"/>
    <n v="13"/>
    <x v="0"/>
    <n v="1"/>
    <n v="80"/>
    <x v="1"/>
    <n v="6"/>
    <x v="2"/>
    <x v="1"/>
    <n v="6"/>
    <n v="5"/>
    <x v="1"/>
    <n v="2"/>
  </r>
  <r>
    <n v="41"/>
    <x v="1"/>
    <x v="1"/>
    <n v="840"/>
    <x v="1"/>
    <x v="14"/>
    <x v="3"/>
    <s v="Medical"/>
    <n v="1"/>
    <n v="999"/>
    <n v="1"/>
    <x v="1"/>
    <n v="64"/>
    <x v="0"/>
    <n v="5"/>
    <x v="7"/>
    <n v="3"/>
    <x v="2"/>
    <n v="19419"/>
    <n v="3735"/>
    <n v="2"/>
    <s v="Y"/>
    <x v="1"/>
    <n v="17"/>
    <x v="0"/>
    <n v="2"/>
    <n v="80"/>
    <x v="1"/>
    <n v="21"/>
    <x v="2"/>
    <x v="3"/>
    <n v="18"/>
    <n v="16"/>
    <x v="0"/>
    <n v="11"/>
  </r>
  <r>
    <n v="27"/>
    <x v="1"/>
    <x v="0"/>
    <n v="1134"/>
    <x v="1"/>
    <x v="7"/>
    <x v="2"/>
    <s v="Technical Degree"/>
    <n v="1"/>
    <n v="1001"/>
    <n v="3"/>
    <x v="0"/>
    <n v="37"/>
    <x v="0"/>
    <n v="1"/>
    <x v="2"/>
    <n v="2"/>
    <x v="1"/>
    <n v="2811"/>
    <n v="12086"/>
    <n v="9"/>
    <s v="Y"/>
    <x v="1"/>
    <n v="14"/>
    <x v="0"/>
    <n v="2"/>
    <n v="80"/>
    <x v="1"/>
    <n v="4"/>
    <x v="2"/>
    <x v="1"/>
    <n v="2"/>
    <n v="2"/>
    <x v="3"/>
    <n v="2"/>
  </r>
  <r>
    <n v="45"/>
    <x v="1"/>
    <x v="2"/>
    <n v="248"/>
    <x v="1"/>
    <x v="5"/>
    <x v="0"/>
    <s v="Life Sciences"/>
    <n v="1"/>
    <n v="1002"/>
    <n v="4"/>
    <x v="1"/>
    <n v="42"/>
    <x v="0"/>
    <n v="2"/>
    <x v="2"/>
    <n v="1"/>
    <x v="1"/>
    <n v="3633"/>
    <n v="14039"/>
    <n v="1"/>
    <s v="Y"/>
    <x v="0"/>
    <n v="15"/>
    <x v="0"/>
    <n v="3"/>
    <n v="80"/>
    <x v="1"/>
    <n v="9"/>
    <x v="2"/>
    <x v="1"/>
    <n v="9"/>
    <n v="8"/>
    <x v="0"/>
    <n v="8"/>
  </r>
  <r>
    <n v="47"/>
    <x v="1"/>
    <x v="0"/>
    <n v="955"/>
    <x v="0"/>
    <x v="18"/>
    <x v="0"/>
    <s v="Life Sciences"/>
    <n v="1"/>
    <n v="1003"/>
    <n v="4"/>
    <x v="0"/>
    <n v="83"/>
    <x v="0"/>
    <n v="2"/>
    <x v="0"/>
    <n v="4"/>
    <x v="0"/>
    <n v="4163"/>
    <n v="8571"/>
    <n v="1"/>
    <s v="Y"/>
    <x v="0"/>
    <n v="17"/>
    <x v="0"/>
    <n v="3"/>
    <n v="80"/>
    <x v="0"/>
    <n v="9"/>
    <x v="0"/>
    <x v="1"/>
    <n v="9"/>
    <n v="0"/>
    <x v="0"/>
    <n v="7"/>
  </r>
  <r>
    <n v="30"/>
    <x v="0"/>
    <x v="0"/>
    <n v="138"/>
    <x v="1"/>
    <x v="23"/>
    <x v="3"/>
    <s v="Life Sciences"/>
    <n v="1"/>
    <n v="1004"/>
    <n v="1"/>
    <x v="0"/>
    <n v="48"/>
    <x v="0"/>
    <n v="1"/>
    <x v="1"/>
    <n v="3"/>
    <x v="1"/>
    <n v="2132"/>
    <n v="11539"/>
    <n v="4"/>
    <s v="Y"/>
    <x v="0"/>
    <n v="11"/>
    <x v="0"/>
    <n v="2"/>
    <n v="80"/>
    <x v="0"/>
    <n v="7"/>
    <x v="2"/>
    <x v="1"/>
    <n v="5"/>
    <n v="2"/>
    <x v="0"/>
    <n v="1"/>
  </r>
  <r>
    <n v="50"/>
    <x v="1"/>
    <x v="0"/>
    <n v="939"/>
    <x v="1"/>
    <x v="4"/>
    <x v="3"/>
    <s v="Life Sciences"/>
    <n v="1"/>
    <n v="1005"/>
    <n v="4"/>
    <x v="1"/>
    <n v="95"/>
    <x v="0"/>
    <n v="4"/>
    <x v="3"/>
    <n v="3"/>
    <x v="1"/>
    <n v="13973"/>
    <n v="4161"/>
    <n v="3"/>
    <s v="Y"/>
    <x v="0"/>
    <n v="18"/>
    <x v="0"/>
    <n v="4"/>
    <n v="80"/>
    <x v="1"/>
    <n v="22"/>
    <x v="2"/>
    <x v="1"/>
    <n v="12"/>
    <n v="11"/>
    <x v="1"/>
    <n v="5"/>
  </r>
  <r>
    <n v="38"/>
    <x v="1"/>
    <x v="1"/>
    <n v="1391"/>
    <x v="1"/>
    <x v="17"/>
    <x v="1"/>
    <s v="Medical"/>
    <n v="1"/>
    <n v="1006"/>
    <n v="3"/>
    <x v="1"/>
    <n v="66"/>
    <x v="0"/>
    <n v="1"/>
    <x v="1"/>
    <n v="3"/>
    <x v="1"/>
    <n v="2684"/>
    <n v="12127"/>
    <n v="0"/>
    <s v="Y"/>
    <x v="1"/>
    <n v="17"/>
    <x v="0"/>
    <n v="2"/>
    <n v="80"/>
    <x v="1"/>
    <n v="3"/>
    <x v="0"/>
    <x v="2"/>
    <n v="2"/>
    <n v="1"/>
    <x v="0"/>
    <n v="2"/>
  </r>
  <r>
    <n v="46"/>
    <x v="1"/>
    <x v="0"/>
    <n v="566"/>
    <x v="1"/>
    <x v="15"/>
    <x v="0"/>
    <s v="Medical"/>
    <n v="1"/>
    <n v="1007"/>
    <n v="4"/>
    <x v="1"/>
    <n v="75"/>
    <x v="0"/>
    <n v="3"/>
    <x v="3"/>
    <n v="3"/>
    <x v="2"/>
    <n v="10845"/>
    <n v="24208"/>
    <n v="6"/>
    <s v="Y"/>
    <x v="1"/>
    <n v="13"/>
    <x v="0"/>
    <n v="2"/>
    <n v="80"/>
    <x v="1"/>
    <n v="13"/>
    <x v="1"/>
    <x v="1"/>
    <n v="8"/>
    <n v="7"/>
    <x v="0"/>
    <n v="7"/>
  </r>
  <r>
    <n v="24"/>
    <x v="1"/>
    <x v="0"/>
    <n v="1206"/>
    <x v="1"/>
    <x v="27"/>
    <x v="1"/>
    <s v="Medical"/>
    <n v="1"/>
    <n v="1009"/>
    <n v="4"/>
    <x v="0"/>
    <n v="41"/>
    <x v="1"/>
    <n v="2"/>
    <x v="3"/>
    <n v="3"/>
    <x v="2"/>
    <n v="4377"/>
    <n v="24117"/>
    <n v="1"/>
    <s v="Y"/>
    <x v="1"/>
    <n v="15"/>
    <x v="0"/>
    <n v="2"/>
    <n v="80"/>
    <x v="3"/>
    <n v="5"/>
    <x v="6"/>
    <x v="1"/>
    <n v="4"/>
    <n v="2"/>
    <x v="2"/>
    <n v="2"/>
  </r>
  <r>
    <n v="35"/>
    <x v="0"/>
    <x v="0"/>
    <n v="622"/>
    <x v="1"/>
    <x v="24"/>
    <x v="2"/>
    <s v="Other"/>
    <n v="1"/>
    <n v="1010"/>
    <n v="3"/>
    <x v="1"/>
    <n v="39"/>
    <x v="1"/>
    <n v="1"/>
    <x v="2"/>
    <n v="2"/>
    <x v="2"/>
    <n v="3743"/>
    <n v="10074"/>
    <n v="1"/>
    <s v="Y"/>
    <x v="0"/>
    <n v="24"/>
    <x v="1"/>
    <n v="4"/>
    <n v="80"/>
    <x v="1"/>
    <n v="5"/>
    <x v="2"/>
    <x v="0"/>
    <n v="4"/>
    <n v="2"/>
    <x v="0"/>
    <n v="2"/>
  </r>
  <r>
    <n v="31"/>
    <x v="1"/>
    <x v="1"/>
    <n v="853"/>
    <x v="1"/>
    <x v="0"/>
    <x v="1"/>
    <s v="Life Sciences"/>
    <n v="1"/>
    <n v="1011"/>
    <n v="3"/>
    <x v="0"/>
    <n v="96"/>
    <x v="0"/>
    <n v="2"/>
    <x v="3"/>
    <n v="1"/>
    <x v="1"/>
    <n v="4148"/>
    <n v="11275"/>
    <n v="1"/>
    <s v="Y"/>
    <x v="1"/>
    <n v="12"/>
    <x v="0"/>
    <n v="3"/>
    <n v="80"/>
    <x v="1"/>
    <n v="4"/>
    <x v="4"/>
    <x v="1"/>
    <n v="4"/>
    <n v="3"/>
    <x v="0"/>
    <n v="3"/>
  </r>
  <r>
    <n v="18"/>
    <x v="1"/>
    <x v="2"/>
    <n v="287"/>
    <x v="1"/>
    <x v="12"/>
    <x v="0"/>
    <s v="Life Sciences"/>
    <n v="1"/>
    <n v="1012"/>
    <n v="2"/>
    <x v="1"/>
    <n v="73"/>
    <x v="0"/>
    <n v="1"/>
    <x v="1"/>
    <n v="4"/>
    <x v="0"/>
    <n v="1051"/>
    <n v="13493"/>
    <n v="1"/>
    <s v="Y"/>
    <x v="1"/>
    <n v="15"/>
    <x v="0"/>
    <n v="4"/>
    <n v="80"/>
    <x v="0"/>
    <n v="0"/>
    <x v="2"/>
    <x v="1"/>
    <n v="0"/>
    <n v="0"/>
    <x v="0"/>
    <n v="0"/>
  </r>
  <r>
    <n v="54"/>
    <x v="1"/>
    <x v="0"/>
    <n v="1441"/>
    <x v="1"/>
    <x v="27"/>
    <x v="3"/>
    <s v="Technical Degree"/>
    <n v="1"/>
    <n v="1013"/>
    <n v="3"/>
    <x v="0"/>
    <n v="56"/>
    <x v="0"/>
    <n v="3"/>
    <x v="3"/>
    <n v="3"/>
    <x v="1"/>
    <n v="10739"/>
    <n v="13943"/>
    <n v="8"/>
    <s v="Y"/>
    <x v="1"/>
    <n v="11"/>
    <x v="0"/>
    <n v="3"/>
    <n v="80"/>
    <x v="1"/>
    <n v="22"/>
    <x v="2"/>
    <x v="1"/>
    <n v="10"/>
    <n v="7"/>
    <x v="0"/>
    <n v="8"/>
  </r>
  <r>
    <n v="35"/>
    <x v="1"/>
    <x v="0"/>
    <n v="583"/>
    <x v="1"/>
    <x v="19"/>
    <x v="2"/>
    <s v="Medical"/>
    <n v="1"/>
    <n v="1014"/>
    <n v="3"/>
    <x v="0"/>
    <n v="57"/>
    <x v="0"/>
    <n v="3"/>
    <x v="4"/>
    <n v="3"/>
    <x v="2"/>
    <n v="10388"/>
    <n v="6975"/>
    <n v="1"/>
    <s v="Y"/>
    <x v="0"/>
    <n v="11"/>
    <x v="0"/>
    <n v="3"/>
    <n v="80"/>
    <x v="1"/>
    <n v="16"/>
    <x v="1"/>
    <x v="2"/>
    <n v="16"/>
    <n v="10"/>
    <x v="13"/>
    <n v="1"/>
  </r>
  <r>
    <n v="30"/>
    <x v="1"/>
    <x v="0"/>
    <n v="153"/>
    <x v="1"/>
    <x v="1"/>
    <x v="0"/>
    <s v="Life Sciences"/>
    <n v="1"/>
    <n v="1015"/>
    <n v="2"/>
    <x v="0"/>
    <n v="73"/>
    <x v="2"/>
    <n v="3"/>
    <x v="7"/>
    <n v="1"/>
    <x v="1"/>
    <n v="11416"/>
    <n v="17802"/>
    <n v="0"/>
    <s v="Y"/>
    <x v="0"/>
    <n v="12"/>
    <x v="0"/>
    <n v="3"/>
    <n v="80"/>
    <x v="2"/>
    <n v="9"/>
    <x v="5"/>
    <x v="2"/>
    <n v="8"/>
    <n v="7"/>
    <x v="1"/>
    <n v="7"/>
  </r>
  <r>
    <n v="20"/>
    <x v="0"/>
    <x v="0"/>
    <n v="1097"/>
    <x v="1"/>
    <x v="13"/>
    <x v="3"/>
    <s v="Medical"/>
    <n v="1"/>
    <n v="1016"/>
    <n v="4"/>
    <x v="0"/>
    <n v="98"/>
    <x v="1"/>
    <n v="1"/>
    <x v="1"/>
    <n v="1"/>
    <x v="0"/>
    <n v="2600"/>
    <n v="18275"/>
    <n v="1"/>
    <s v="Y"/>
    <x v="0"/>
    <n v="15"/>
    <x v="0"/>
    <n v="1"/>
    <n v="80"/>
    <x v="0"/>
    <n v="1"/>
    <x v="2"/>
    <x v="1"/>
    <n v="1"/>
    <n v="0"/>
    <x v="0"/>
    <n v="0"/>
  </r>
  <r>
    <n v="30"/>
    <x v="0"/>
    <x v="1"/>
    <n v="109"/>
    <x v="1"/>
    <x v="12"/>
    <x v="3"/>
    <s v="Medical"/>
    <n v="1"/>
    <n v="1017"/>
    <n v="2"/>
    <x v="0"/>
    <n v="60"/>
    <x v="0"/>
    <n v="1"/>
    <x v="2"/>
    <n v="2"/>
    <x v="0"/>
    <n v="2422"/>
    <n v="25725"/>
    <n v="0"/>
    <s v="Y"/>
    <x v="1"/>
    <n v="17"/>
    <x v="0"/>
    <n v="1"/>
    <n v="80"/>
    <x v="0"/>
    <n v="4"/>
    <x v="1"/>
    <x v="1"/>
    <n v="3"/>
    <n v="2"/>
    <x v="1"/>
    <n v="2"/>
  </r>
  <r>
    <n v="26"/>
    <x v="1"/>
    <x v="0"/>
    <n v="1066"/>
    <x v="1"/>
    <x v="2"/>
    <x v="0"/>
    <s v="Medical"/>
    <n v="1"/>
    <n v="1018"/>
    <n v="4"/>
    <x v="1"/>
    <n v="32"/>
    <x v="2"/>
    <n v="2"/>
    <x v="3"/>
    <n v="4"/>
    <x v="1"/>
    <n v="5472"/>
    <n v="3334"/>
    <n v="1"/>
    <s v="Y"/>
    <x v="1"/>
    <n v="12"/>
    <x v="0"/>
    <n v="2"/>
    <n v="80"/>
    <x v="0"/>
    <n v="8"/>
    <x v="2"/>
    <x v="1"/>
    <n v="8"/>
    <n v="7"/>
    <x v="1"/>
    <n v="3"/>
  </r>
  <r>
    <n v="22"/>
    <x v="1"/>
    <x v="0"/>
    <n v="217"/>
    <x v="1"/>
    <x v="1"/>
    <x v="1"/>
    <s v="Life Sciences"/>
    <n v="1"/>
    <n v="1019"/>
    <n v="2"/>
    <x v="1"/>
    <n v="94"/>
    <x v="3"/>
    <n v="1"/>
    <x v="2"/>
    <n v="1"/>
    <x v="1"/>
    <n v="2451"/>
    <n v="6881"/>
    <n v="1"/>
    <s v="Y"/>
    <x v="1"/>
    <n v="15"/>
    <x v="0"/>
    <n v="1"/>
    <n v="80"/>
    <x v="1"/>
    <n v="4"/>
    <x v="1"/>
    <x v="2"/>
    <n v="4"/>
    <n v="3"/>
    <x v="1"/>
    <n v="1"/>
  </r>
  <r>
    <n v="48"/>
    <x v="1"/>
    <x v="0"/>
    <n v="277"/>
    <x v="1"/>
    <x v="16"/>
    <x v="3"/>
    <s v="Life Sciences"/>
    <n v="1"/>
    <n v="1022"/>
    <n v="1"/>
    <x v="1"/>
    <n v="97"/>
    <x v="1"/>
    <n v="2"/>
    <x v="4"/>
    <n v="3"/>
    <x v="0"/>
    <n v="4240"/>
    <n v="13119"/>
    <n v="2"/>
    <s v="Y"/>
    <x v="1"/>
    <n v="13"/>
    <x v="0"/>
    <n v="4"/>
    <n v="80"/>
    <x v="0"/>
    <n v="19"/>
    <x v="0"/>
    <x v="1"/>
    <n v="2"/>
    <n v="2"/>
    <x v="3"/>
    <n v="2"/>
  </r>
  <r>
    <n v="48"/>
    <x v="1"/>
    <x v="0"/>
    <n v="1355"/>
    <x v="1"/>
    <x v="18"/>
    <x v="2"/>
    <s v="Life Sciences"/>
    <n v="1"/>
    <n v="1024"/>
    <n v="3"/>
    <x v="1"/>
    <n v="78"/>
    <x v="1"/>
    <n v="3"/>
    <x v="4"/>
    <n v="3"/>
    <x v="0"/>
    <n v="10999"/>
    <n v="22245"/>
    <n v="7"/>
    <s v="Y"/>
    <x v="1"/>
    <n v="14"/>
    <x v="0"/>
    <n v="2"/>
    <n v="80"/>
    <x v="0"/>
    <n v="27"/>
    <x v="1"/>
    <x v="1"/>
    <n v="15"/>
    <n v="11"/>
    <x v="5"/>
    <n v="8"/>
  </r>
  <r>
    <n v="41"/>
    <x v="1"/>
    <x v="0"/>
    <n v="549"/>
    <x v="1"/>
    <x v="15"/>
    <x v="0"/>
    <s v="Medical"/>
    <n v="1"/>
    <n v="1025"/>
    <n v="4"/>
    <x v="0"/>
    <n v="42"/>
    <x v="0"/>
    <n v="2"/>
    <x v="3"/>
    <n v="3"/>
    <x v="0"/>
    <n v="5003"/>
    <n v="23371"/>
    <n v="6"/>
    <s v="Y"/>
    <x v="1"/>
    <n v="14"/>
    <x v="0"/>
    <n v="2"/>
    <n v="80"/>
    <x v="0"/>
    <n v="8"/>
    <x v="6"/>
    <x v="1"/>
    <n v="2"/>
    <n v="2"/>
    <x v="3"/>
    <n v="1"/>
  </r>
  <r>
    <n v="39"/>
    <x v="1"/>
    <x v="0"/>
    <n v="466"/>
    <x v="1"/>
    <x v="0"/>
    <x v="1"/>
    <s v="Life Sciences"/>
    <n v="1"/>
    <n v="1026"/>
    <n v="4"/>
    <x v="0"/>
    <n v="65"/>
    <x v="1"/>
    <n v="4"/>
    <x v="3"/>
    <n v="4"/>
    <x v="1"/>
    <n v="12742"/>
    <n v="7060"/>
    <n v="1"/>
    <s v="Y"/>
    <x v="1"/>
    <n v="16"/>
    <x v="0"/>
    <n v="3"/>
    <n v="80"/>
    <x v="1"/>
    <n v="21"/>
    <x v="1"/>
    <x v="1"/>
    <n v="21"/>
    <n v="6"/>
    <x v="14"/>
    <n v="8"/>
  </r>
  <r>
    <n v="27"/>
    <x v="1"/>
    <x v="0"/>
    <n v="1055"/>
    <x v="1"/>
    <x v="2"/>
    <x v="2"/>
    <s v="Life Sciences"/>
    <n v="1"/>
    <n v="1027"/>
    <n v="1"/>
    <x v="0"/>
    <n v="47"/>
    <x v="0"/>
    <n v="2"/>
    <x v="3"/>
    <n v="4"/>
    <x v="1"/>
    <n v="4227"/>
    <n v="4658"/>
    <n v="0"/>
    <s v="Y"/>
    <x v="1"/>
    <n v="18"/>
    <x v="0"/>
    <n v="2"/>
    <n v="80"/>
    <x v="1"/>
    <n v="4"/>
    <x v="2"/>
    <x v="1"/>
    <n v="3"/>
    <n v="2"/>
    <x v="3"/>
    <n v="2"/>
  </r>
  <r>
    <n v="35"/>
    <x v="1"/>
    <x v="0"/>
    <n v="802"/>
    <x v="1"/>
    <x v="17"/>
    <x v="3"/>
    <s v="Other"/>
    <n v="1"/>
    <n v="1028"/>
    <n v="2"/>
    <x v="1"/>
    <n v="45"/>
    <x v="0"/>
    <n v="1"/>
    <x v="2"/>
    <n v="4"/>
    <x v="2"/>
    <n v="3917"/>
    <n v="9541"/>
    <n v="1"/>
    <s v="Y"/>
    <x v="1"/>
    <n v="20"/>
    <x v="1"/>
    <n v="1"/>
    <n v="80"/>
    <x v="1"/>
    <n v="3"/>
    <x v="5"/>
    <x v="2"/>
    <n v="3"/>
    <n v="2"/>
    <x v="1"/>
    <n v="2"/>
  </r>
  <r>
    <n v="42"/>
    <x v="1"/>
    <x v="0"/>
    <n v="265"/>
    <x v="0"/>
    <x v="12"/>
    <x v="0"/>
    <s v="Marketing"/>
    <n v="1"/>
    <n v="1029"/>
    <n v="4"/>
    <x v="1"/>
    <n v="90"/>
    <x v="0"/>
    <n v="5"/>
    <x v="5"/>
    <n v="3"/>
    <x v="1"/>
    <n v="18303"/>
    <n v="7770"/>
    <n v="6"/>
    <s v="Y"/>
    <x v="1"/>
    <n v="13"/>
    <x v="0"/>
    <n v="2"/>
    <n v="80"/>
    <x v="0"/>
    <n v="21"/>
    <x v="1"/>
    <x v="3"/>
    <n v="1"/>
    <n v="0"/>
    <x v="0"/>
    <n v="0"/>
  </r>
  <r>
    <n v="50"/>
    <x v="1"/>
    <x v="0"/>
    <n v="804"/>
    <x v="1"/>
    <x v="14"/>
    <x v="3"/>
    <s v="Life Sciences"/>
    <n v="1"/>
    <n v="1030"/>
    <n v="1"/>
    <x v="1"/>
    <n v="64"/>
    <x v="0"/>
    <n v="1"/>
    <x v="2"/>
    <n v="4"/>
    <x v="1"/>
    <n v="2380"/>
    <n v="20165"/>
    <n v="4"/>
    <s v="Y"/>
    <x v="1"/>
    <n v="18"/>
    <x v="0"/>
    <n v="2"/>
    <n v="80"/>
    <x v="0"/>
    <n v="8"/>
    <x v="3"/>
    <x v="1"/>
    <n v="1"/>
    <n v="0"/>
    <x v="0"/>
    <n v="0"/>
  </r>
  <r>
    <n v="59"/>
    <x v="1"/>
    <x v="0"/>
    <n v="715"/>
    <x v="1"/>
    <x v="2"/>
    <x v="3"/>
    <s v="Life Sciences"/>
    <n v="1"/>
    <n v="1032"/>
    <n v="3"/>
    <x v="0"/>
    <n v="69"/>
    <x v="1"/>
    <n v="4"/>
    <x v="3"/>
    <n v="4"/>
    <x v="0"/>
    <n v="13726"/>
    <n v="21829"/>
    <n v="3"/>
    <s v="Y"/>
    <x v="0"/>
    <n v="13"/>
    <x v="0"/>
    <n v="1"/>
    <n v="80"/>
    <x v="0"/>
    <n v="30"/>
    <x v="5"/>
    <x v="1"/>
    <n v="5"/>
    <n v="3"/>
    <x v="5"/>
    <n v="3"/>
  </r>
  <r>
    <n v="37"/>
    <x v="0"/>
    <x v="0"/>
    <n v="1141"/>
    <x v="1"/>
    <x v="13"/>
    <x v="0"/>
    <s v="Medical"/>
    <n v="1"/>
    <n v="1033"/>
    <n v="1"/>
    <x v="0"/>
    <n v="61"/>
    <x v="3"/>
    <n v="2"/>
    <x v="4"/>
    <n v="2"/>
    <x v="1"/>
    <n v="4777"/>
    <n v="14382"/>
    <n v="5"/>
    <s v="Y"/>
    <x v="1"/>
    <n v="15"/>
    <x v="0"/>
    <n v="1"/>
    <n v="80"/>
    <x v="0"/>
    <n v="15"/>
    <x v="2"/>
    <x v="0"/>
    <n v="1"/>
    <n v="0"/>
    <x v="0"/>
    <n v="0"/>
  </r>
  <r>
    <n v="55"/>
    <x v="1"/>
    <x v="1"/>
    <n v="135"/>
    <x v="1"/>
    <x v="21"/>
    <x v="2"/>
    <s v="Medical"/>
    <n v="1"/>
    <n v="1034"/>
    <n v="3"/>
    <x v="1"/>
    <n v="62"/>
    <x v="0"/>
    <n v="2"/>
    <x v="4"/>
    <n v="2"/>
    <x v="1"/>
    <n v="6385"/>
    <n v="12992"/>
    <n v="3"/>
    <s v="Y"/>
    <x v="0"/>
    <n v="14"/>
    <x v="0"/>
    <n v="4"/>
    <n v="80"/>
    <x v="3"/>
    <n v="17"/>
    <x v="1"/>
    <x v="1"/>
    <n v="8"/>
    <n v="7"/>
    <x v="7"/>
    <n v="7"/>
  </r>
  <r>
    <n v="41"/>
    <x v="1"/>
    <x v="2"/>
    <n v="247"/>
    <x v="1"/>
    <x v="15"/>
    <x v="1"/>
    <s v="Life Sciences"/>
    <n v="1"/>
    <n v="1035"/>
    <n v="2"/>
    <x v="0"/>
    <n v="55"/>
    <x v="3"/>
    <n v="5"/>
    <x v="7"/>
    <n v="3"/>
    <x v="2"/>
    <n v="19973"/>
    <n v="20284"/>
    <n v="1"/>
    <s v="Y"/>
    <x v="1"/>
    <n v="22"/>
    <x v="1"/>
    <n v="2"/>
    <n v="80"/>
    <x v="3"/>
    <n v="21"/>
    <x v="1"/>
    <x v="1"/>
    <n v="21"/>
    <n v="16"/>
    <x v="8"/>
    <n v="10"/>
  </r>
  <r>
    <n v="38"/>
    <x v="1"/>
    <x v="0"/>
    <n v="1035"/>
    <x v="0"/>
    <x v="3"/>
    <x v="2"/>
    <s v="Life Sciences"/>
    <n v="1"/>
    <n v="1036"/>
    <n v="2"/>
    <x v="1"/>
    <n v="42"/>
    <x v="0"/>
    <n v="2"/>
    <x v="0"/>
    <n v="4"/>
    <x v="0"/>
    <n v="6861"/>
    <n v="4981"/>
    <n v="8"/>
    <s v="Y"/>
    <x v="0"/>
    <n v="12"/>
    <x v="0"/>
    <n v="3"/>
    <n v="80"/>
    <x v="0"/>
    <n v="19"/>
    <x v="4"/>
    <x v="1"/>
    <n v="1"/>
    <n v="0"/>
    <x v="0"/>
    <n v="0"/>
  </r>
  <r>
    <n v="26"/>
    <x v="0"/>
    <x v="2"/>
    <n v="265"/>
    <x v="0"/>
    <x v="22"/>
    <x v="0"/>
    <s v="Medical"/>
    <n v="1"/>
    <n v="1037"/>
    <n v="2"/>
    <x v="1"/>
    <n v="79"/>
    <x v="3"/>
    <n v="2"/>
    <x v="0"/>
    <n v="1"/>
    <x v="0"/>
    <n v="4969"/>
    <n v="21813"/>
    <n v="8"/>
    <s v="Y"/>
    <x v="1"/>
    <n v="18"/>
    <x v="0"/>
    <n v="4"/>
    <n v="80"/>
    <x v="0"/>
    <n v="7"/>
    <x v="6"/>
    <x v="1"/>
    <n v="2"/>
    <n v="2"/>
    <x v="3"/>
    <n v="2"/>
  </r>
  <r>
    <n v="52"/>
    <x v="0"/>
    <x v="0"/>
    <n v="266"/>
    <x v="0"/>
    <x v="2"/>
    <x v="1"/>
    <s v="Marketing"/>
    <n v="1"/>
    <n v="1038"/>
    <n v="1"/>
    <x v="0"/>
    <n v="57"/>
    <x v="3"/>
    <n v="5"/>
    <x v="5"/>
    <n v="4"/>
    <x v="1"/>
    <n v="19845"/>
    <n v="25846"/>
    <n v="1"/>
    <s v="Y"/>
    <x v="1"/>
    <n v="15"/>
    <x v="0"/>
    <n v="4"/>
    <n v="80"/>
    <x v="1"/>
    <n v="33"/>
    <x v="1"/>
    <x v="1"/>
    <n v="32"/>
    <n v="14"/>
    <x v="7"/>
    <n v="9"/>
  </r>
  <r>
    <n v="44"/>
    <x v="1"/>
    <x v="0"/>
    <n v="1448"/>
    <x v="0"/>
    <x v="26"/>
    <x v="3"/>
    <s v="Medical"/>
    <n v="1"/>
    <n v="1039"/>
    <n v="4"/>
    <x v="0"/>
    <n v="53"/>
    <x v="2"/>
    <n v="4"/>
    <x v="0"/>
    <n v="4"/>
    <x v="1"/>
    <n v="13320"/>
    <n v="11737"/>
    <n v="3"/>
    <s v="Y"/>
    <x v="0"/>
    <n v="18"/>
    <x v="0"/>
    <n v="3"/>
    <n v="80"/>
    <x v="1"/>
    <n v="23"/>
    <x v="2"/>
    <x v="1"/>
    <n v="12"/>
    <n v="11"/>
    <x v="14"/>
    <n v="11"/>
  </r>
  <r>
    <n v="50"/>
    <x v="1"/>
    <x v="2"/>
    <n v="145"/>
    <x v="0"/>
    <x v="0"/>
    <x v="3"/>
    <s v="Life Sciences"/>
    <n v="1"/>
    <n v="1040"/>
    <n v="4"/>
    <x v="0"/>
    <n v="95"/>
    <x v="0"/>
    <n v="2"/>
    <x v="0"/>
    <n v="3"/>
    <x v="1"/>
    <n v="6347"/>
    <n v="24920"/>
    <n v="0"/>
    <s v="Y"/>
    <x v="1"/>
    <n v="12"/>
    <x v="0"/>
    <n v="1"/>
    <n v="80"/>
    <x v="1"/>
    <n v="19"/>
    <x v="1"/>
    <x v="1"/>
    <n v="18"/>
    <n v="7"/>
    <x v="0"/>
    <n v="13"/>
  </r>
  <r>
    <n v="36"/>
    <x v="0"/>
    <x v="0"/>
    <n v="885"/>
    <x v="1"/>
    <x v="7"/>
    <x v="2"/>
    <s v="Life Sciences"/>
    <n v="1"/>
    <n v="1042"/>
    <n v="3"/>
    <x v="0"/>
    <n v="43"/>
    <x v="2"/>
    <n v="1"/>
    <x v="2"/>
    <n v="1"/>
    <x v="0"/>
    <n v="2743"/>
    <n v="8269"/>
    <n v="1"/>
    <s v="Y"/>
    <x v="1"/>
    <n v="16"/>
    <x v="0"/>
    <n v="3"/>
    <n v="80"/>
    <x v="0"/>
    <n v="18"/>
    <x v="4"/>
    <x v="1"/>
    <n v="17"/>
    <n v="13"/>
    <x v="9"/>
    <n v="14"/>
  </r>
  <r>
    <n v="39"/>
    <x v="1"/>
    <x v="1"/>
    <n v="945"/>
    <x v="1"/>
    <x v="23"/>
    <x v="3"/>
    <s v="Medical"/>
    <n v="1"/>
    <n v="1043"/>
    <n v="4"/>
    <x v="0"/>
    <n v="82"/>
    <x v="0"/>
    <n v="3"/>
    <x v="3"/>
    <n v="1"/>
    <x v="0"/>
    <n v="10880"/>
    <n v="5083"/>
    <n v="1"/>
    <s v="Y"/>
    <x v="0"/>
    <n v="13"/>
    <x v="0"/>
    <n v="3"/>
    <n v="80"/>
    <x v="0"/>
    <n v="21"/>
    <x v="2"/>
    <x v="1"/>
    <n v="21"/>
    <n v="6"/>
    <x v="3"/>
    <n v="8"/>
  </r>
  <r>
    <n v="33"/>
    <x v="1"/>
    <x v="2"/>
    <n v="1038"/>
    <x v="0"/>
    <x v="1"/>
    <x v="1"/>
    <s v="Life Sciences"/>
    <n v="1"/>
    <n v="1044"/>
    <n v="2"/>
    <x v="0"/>
    <n v="88"/>
    <x v="1"/>
    <n v="1"/>
    <x v="6"/>
    <n v="4"/>
    <x v="0"/>
    <n v="2342"/>
    <n v="21437"/>
    <n v="0"/>
    <s v="Y"/>
    <x v="1"/>
    <n v="19"/>
    <x v="0"/>
    <n v="4"/>
    <n v="80"/>
    <x v="0"/>
    <n v="3"/>
    <x v="2"/>
    <x v="2"/>
    <n v="2"/>
    <n v="2"/>
    <x v="3"/>
    <n v="2"/>
  </r>
  <r>
    <n v="45"/>
    <x v="1"/>
    <x v="0"/>
    <n v="1234"/>
    <x v="0"/>
    <x v="13"/>
    <x v="0"/>
    <s v="Life Sciences"/>
    <n v="1"/>
    <n v="1045"/>
    <n v="4"/>
    <x v="0"/>
    <n v="90"/>
    <x v="0"/>
    <n v="4"/>
    <x v="5"/>
    <n v="4"/>
    <x v="1"/>
    <n v="17650"/>
    <n v="5404"/>
    <n v="3"/>
    <s v="Y"/>
    <x v="1"/>
    <n v="13"/>
    <x v="0"/>
    <n v="2"/>
    <n v="80"/>
    <x v="1"/>
    <n v="26"/>
    <x v="5"/>
    <x v="3"/>
    <n v="9"/>
    <n v="3"/>
    <x v="1"/>
    <n v="1"/>
  </r>
  <r>
    <n v="32"/>
    <x v="1"/>
    <x v="2"/>
    <n v="1109"/>
    <x v="1"/>
    <x v="22"/>
    <x v="2"/>
    <s v="Medical"/>
    <n v="1"/>
    <n v="1046"/>
    <n v="4"/>
    <x v="0"/>
    <n v="69"/>
    <x v="0"/>
    <n v="1"/>
    <x v="2"/>
    <n v="3"/>
    <x v="0"/>
    <n v="4025"/>
    <n v="11135"/>
    <n v="9"/>
    <s v="Y"/>
    <x v="1"/>
    <n v="12"/>
    <x v="0"/>
    <n v="2"/>
    <n v="80"/>
    <x v="0"/>
    <n v="10"/>
    <x v="2"/>
    <x v="1"/>
    <n v="8"/>
    <n v="7"/>
    <x v="4"/>
    <n v="7"/>
  </r>
  <r>
    <n v="34"/>
    <x v="1"/>
    <x v="0"/>
    <n v="216"/>
    <x v="0"/>
    <x v="0"/>
    <x v="2"/>
    <s v="Marketing"/>
    <n v="1"/>
    <n v="1047"/>
    <n v="2"/>
    <x v="1"/>
    <n v="75"/>
    <x v="2"/>
    <n v="2"/>
    <x v="0"/>
    <n v="4"/>
    <x v="2"/>
    <n v="9725"/>
    <n v="12278"/>
    <n v="0"/>
    <s v="Y"/>
    <x v="1"/>
    <n v="11"/>
    <x v="0"/>
    <n v="4"/>
    <n v="80"/>
    <x v="1"/>
    <n v="16"/>
    <x v="2"/>
    <x v="2"/>
    <n v="15"/>
    <n v="1"/>
    <x v="0"/>
    <n v="9"/>
  </r>
  <r>
    <n v="59"/>
    <x v="1"/>
    <x v="0"/>
    <n v="1089"/>
    <x v="0"/>
    <x v="0"/>
    <x v="0"/>
    <s v="Technical Degree"/>
    <n v="1"/>
    <n v="1048"/>
    <n v="2"/>
    <x v="1"/>
    <n v="66"/>
    <x v="0"/>
    <n v="3"/>
    <x v="5"/>
    <n v="4"/>
    <x v="1"/>
    <n v="11904"/>
    <n v="11038"/>
    <n v="3"/>
    <s v="Y"/>
    <x v="0"/>
    <n v="14"/>
    <x v="0"/>
    <n v="3"/>
    <n v="80"/>
    <x v="1"/>
    <n v="14"/>
    <x v="4"/>
    <x v="0"/>
    <n v="6"/>
    <n v="4"/>
    <x v="0"/>
    <n v="4"/>
  </r>
  <r>
    <n v="45"/>
    <x v="1"/>
    <x v="0"/>
    <n v="788"/>
    <x v="2"/>
    <x v="4"/>
    <x v="2"/>
    <s v="Medical"/>
    <n v="1"/>
    <n v="1049"/>
    <n v="2"/>
    <x v="1"/>
    <n v="36"/>
    <x v="0"/>
    <n v="1"/>
    <x v="8"/>
    <n v="2"/>
    <x v="0"/>
    <n v="2177"/>
    <n v="8318"/>
    <n v="1"/>
    <s v="Y"/>
    <x v="1"/>
    <n v="16"/>
    <x v="0"/>
    <n v="1"/>
    <n v="80"/>
    <x v="0"/>
    <n v="6"/>
    <x v="1"/>
    <x v="1"/>
    <n v="6"/>
    <n v="3"/>
    <x v="0"/>
    <n v="4"/>
  </r>
  <r>
    <n v="53"/>
    <x v="1"/>
    <x v="1"/>
    <n v="124"/>
    <x v="0"/>
    <x v="2"/>
    <x v="3"/>
    <s v="Marketing"/>
    <n v="1"/>
    <n v="1050"/>
    <n v="3"/>
    <x v="0"/>
    <n v="38"/>
    <x v="1"/>
    <n v="3"/>
    <x v="0"/>
    <n v="2"/>
    <x v="1"/>
    <n v="7525"/>
    <n v="23537"/>
    <n v="2"/>
    <s v="Y"/>
    <x v="1"/>
    <n v="12"/>
    <x v="0"/>
    <n v="1"/>
    <n v="80"/>
    <x v="1"/>
    <n v="30"/>
    <x v="2"/>
    <x v="1"/>
    <n v="15"/>
    <n v="7"/>
    <x v="7"/>
    <n v="12"/>
  </r>
  <r>
    <n v="36"/>
    <x v="0"/>
    <x v="0"/>
    <n v="660"/>
    <x v="1"/>
    <x v="8"/>
    <x v="3"/>
    <s v="Other"/>
    <n v="1"/>
    <n v="1052"/>
    <n v="1"/>
    <x v="1"/>
    <n v="81"/>
    <x v="0"/>
    <n v="2"/>
    <x v="2"/>
    <n v="3"/>
    <x v="2"/>
    <n v="4834"/>
    <n v="7858"/>
    <n v="7"/>
    <s v="Y"/>
    <x v="1"/>
    <n v="14"/>
    <x v="0"/>
    <n v="2"/>
    <n v="80"/>
    <x v="1"/>
    <n v="9"/>
    <x v="1"/>
    <x v="2"/>
    <n v="1"/>
    <n v="0"/>
    <x v="0"/>
    <n v="0"/>
  </r>
  <r>
    <n v="26"/>
    <x v="0"/>
    <x v="1"/>
    <n v="342"/>
    <x v="1"/>
    <x v="2"/>
    <x v="3"/>
    <s v="Life Sciences"/>
    <n v="1"/>
    <n v="1053"/>
    <n v="1"/>
    <x v="1"/>
    <n v="57"/>
    <x v="0"/>
    <n v="1"/>
    <x v="1"/>
    <n v="1"/>
    <x v="1"/>
    <n v="2042"/>
    <n v="15346"/>
    <n v="6"/>
    <s v="Y"/>
    <x v="0"/>
    <n v="14"/>
    <x v="0"/>
    <n v="2"/>
    <n v="80"/>
    <x v="1"/>
    <n v="6"/>
    <x v="2"/>
    <x v="1"/>
    <n v="3"/>
    <n v="2"/>
    <x v="1"/>
    <n v="2"/>
  </r>
  <r>
    <n v="34"/>
    <x v="1"/>
    <x v="0"/>
    <n v="1333"/>
    <x v="0"/>
    <x v="17"/>
    <x v="2"/>
    <s v="Life Sciences"/>
    <n v="1"/>
    <n v="1055"/>
    <n v="3"/>
    <x v="0"/>
    <n v="87"/>
    <x v="0"/>
    <n v="1"/>
    <x v="6"/>
    <n v="3"/>
    <x v="1"/>
    <n v="2220"/>
    <n v="18410"/>
    <n v="1"/>
    <s v="Y"/>
    <x v="0"/>
    <n v="19"/>
    <x v="0"/>
    <n v="4"/>
    <n v="80"/>
    <x v="1"/>
    <n v="1"/>
    <x v="2"/>
    <x v="1"/>
    <n v="1"/>
    <n v="1"/>
    <x v="0"/>
    <n v="0"/>
  </r>
  <r>
    <n v="28"/>
    <x v="1"/>
    <x v="0"/>
    <n v="1144"/>
    <x v="0"/>
    <x v="17"/>
    <x v="1"/>
    <s v="Medical"/>
    <n v="1"/>
    <n v="1056"/>
    <n v="4"/>
    <x v="1"/>
    <n v="74"/>
    <x v="0"/>
    <n v="1"/>
    <x v="6"/>
    <n v="2"/>
    <x v="1"/>
    <n v="1052"/>
    <n v="23384"/>
    <n v="1"/>
    <s v="Y"/>
    <x v="1"/>
    <n v="22"/>
    <x v="1"/>
    <n v="2"/>
    <n v="80"/>
    <x v="0"/>
    <n v="1"/>
    <x v="3"/>
    <x v="1"/>
    <n v="1"/>
    <n v="0"/>
    <x v="0"/>
    <n v="0"/>
  </r>
  <r>
    <n v="38"/>
    <x v="1"/>
    <x v="1"/>
    <n v="1186"/>
    <x v="1"/>
    <x v="3"/>
    <x v="2"/>
    <s v="Other"/>
    <n v="1"/>
    <n v="1060"/>
    <n v="3"/>
    <x v="1"/>
    <n v="44"/>
    <x v="0"/>
    <n v="1"/>
    <x v="1"/>
    <n v="3"/>
    <x v="1"/>
    <n v="2821"/>
    <n v="2997"/>
    <n v="3"/>
    <s v="Y"/>
    <x v="1"/>
    <n v="16"/>
    <x v="0"/>
    <n v="1"/>
    <n v="80"/>
    <x v="1"/>
    <n v="8"/>
    <x v="2"/>
    <x v="1"/>
    <n v="2"/>
    <n v="2"/>
    <x v="3"/>
    <n v="2"/>
  </r>
  <r>
    <n v="50"/>
    <x v="1"/>
    <x v="0"/>
    <n v="1464"/>
    <x v="1"/>
    <x v="2"/>
    <x v="2"/>
    <s v="Medical"/>
    <n v="1"/>
    <n v="1061"/>
    <n v="2"/>
    <x v="1"/>
    <n v="62"/>
    <x v="0"/>
    <n v="5"/>
    <x v="7"/>
    <n v="3"/>
    <x v="1"/>
    <n v="19237"/>
    <n v="12853"/>
    <n v="2"/>
    <s v="Y"/>
    <x v="0"/>
    <n v="11"/>
    <x v="0"/>
    <n v="4"/>
    <n v="80"/>
    <x v="1"/>
    <n v="29"/>
    <x v="2"/>
    <x v="2"/>
    <n v="8"/>
    <n v="1"/>
    <x v="4"/>
    <n v="7"/>
  </r>
  <r>
    <n v="37"/>
    <x v="1"/>
    <x v="0"/>
    <n v="124"/>
    <x v="1"/>
    <x v="3"/>
    <x v="3"/>
    <s v="Other"/>
    <n v="1"/>
    <n v="1062"/>
    <n v="4"/>
    <x v="0"/>
    <n v="35"/>
    <x v="0"/>
    <n v="2"/>
    <x v="4"/>
    <n v="2"/>
    <x v="0"/>
    <n v="4107"/>
    <n v="13848"/>
    <n v="3"/>
    <s v="Y"/>
    <x v="1"/>
    <n v="15"/>
    <x v="0"/>
    <n v="1"/>
    <n v="80"/>
    <x v="0"/>
    <n v="8"/>
    <x v="1"/>
    <x v="2"/>
    <n v="4"/>
    <n v="3"/>
    <x v="0"/>
    <n v="1"/>
  </r>
  <r>
    <n v="40"/>
    <x v="1"/>
    <x v="0"/>
    <n v="300"/>
    <x v="0"/>
    <x v="9"/>
    <x v="3"/>
    <s v="Marketing"/>
    <n v="1"/>
    <n v="1066"/>
    <n v="3"/>
    <x v="1"/>
    <n v="74"/>
    <x v="0"/>
    <n v="2"/>
    <x v="0"/>
    <n v="1"/>
    <x v="1"/>
    <n v="8396"/>
    <n v="22217"/>
    <n v="1"/>
    <s v="Y"/>
    <x v="1"/>
    <n v="14"/>
    <x v="0"/>
    <n v="2"/>
    <n v="80"/>
    <x v="1"/>
    <n v="8"/>
    <x v="1"/>
    <x v="2"/>
    <n v="7"/>
    <n v="7"/>
    <x v="4"/>
    <n v="5"/>
  </r>
  <r>
    <n v="26"/>
    <x v="1"/>
    <x v="1"/>
    <n v="921"/>
    <x v="1"/>
    <x v="0"/>
    <x v="1"/>
    <s v="Medical"/>
    <n v="1"/>
    <n v="1068"/>
    <n v="1"/>
    <x v="0"/>
    <n v="66"/>
    <x v="1"/>
    <n v="1"/>
    <x v="1"/>
    <n v="3"/>
    <x v="2"/>
    <n v="2007"/>
    <n v="25265"/>
    <n v="1"/>
    <s v="Y"/>
    <x v="1"/>
    <n v="13"/>
    <x v="0"/>
    <n v="3"/>
    <n v="80"/>
    <x v="3"/>
    <n v="5"/>
    <x v="3"/>
    <x v="1"/>
    <n v="5"/>
    <n v="3"/>
    <x v="1"/>
    <n v="3"/>
  </r>
  <r>
    <n v="46"/>
    <x v="1"/>
    <x v="0"/>
    <n v="430"/>
    <x v="1"/>
    <x v="0"/>
    <x v="2"/>
    <s v="Medical"/>
    <n v="1"/>
    <n v="1069"/>
    <n v="4"/>
    <x v="1"/>
    <n v="40"/>
    <x v="0"/>
    <n v="5"/>
    <x v="7"/>
    <n v="4"/>
    <x v="2"/>
    <n v="19627"/>
    <n v="21445"/>
    <n v="9"/>
    <s v="Y"/>
    <x v="1"/>
    <n v="17"/>
    <x v="0"/>
    <n v="4"/>
    <n v="80"/>
    <x v="3"/>
    <n v="23"/>
    <x v="0"/>
    <x v="1"/>
    <n v="2"/>
    <n v="2"/>
    <x v="3"/>
    <n v="2"/>
  </r>
  <r>
    <n v="54"/>
    <x v="1"/>
    <x v="0"/>
    <n v="1082"/>
    <x v="0"/>
    <x v="2"/>
    <x v="2"/>
    <s v="Life Sciences"/>
    <n v="1"/>
    <n v="1070"/>
    <n v="3"/>
    <x v="0"/>
    <n v="41"/>
    <x v="1"/>
    <n v="3"/>
    <x v="0"/>
    <n v="3"/>
    <x v="1"/>
    <n v="10686"/>
    <n v="8392"/>
    <n v="6"/>
    <s v="Y"/>
    <x v="1"/>
    <n v="11"/>
    <x v="0"/>
    <n v="2"/>
    <n v="80"/>
    <x v="1"/>
    <n v="13"/>
    <x v="5"/>
    <x v="1"/>
    <n v="9"/>
    <n v="4"/>
    <x v="4"/>
    <n v="0"/>
  </r>
  <r>
    <n v="56"/>
    <x v="1"/>
    <x v="1"/>
    <n v="1240"/>
    <x v="1"/>
    <x v="14"/>
    <x v="3"/>
    <s v="Medical"/>
    <n v="1"/>
    <n v="1071"/>
    <n v="1"/>
    <x v="0"/>
    <n v="63"/>
    <x v="0"/>
    <n v="1"/>
    <x v="1"/>
    <n v="3"/>
    <x v="1"/>
    <n v="2942"/>
    <n v="12154"/>
    <n v="2"/>
    <s v="Y"/>
    <x v="1"/>
    <n v="19"/>
    <x v="0"/>
    <n v="2"/>
    <n v="80"/>
    <x v="1"/>
    <n v="18"/>
    <x v="5"/>
    <x v="1"/>
    <n v="5"/>
    <n v="4"/>
    <x v="0"/>
    <n v="3"/>
  </r>
  <r>
    <n v="36"/>
    <x v="1"/>
    <x v="0"/>
    <n v="796"/>
    <x v="1"/>
    <x v="20"/>
    <x v="4"/>
    <s v="Medical"/>
    <n v="1"/>
    <n v="1073"/>
    <n v="4"/>
    <x v="0"/>
    <n v="51"/>
    <x v="1"/>
    <n v="3"/>
    <x v="3"/>
    <n v="4"/>
    <x v="0"/>
    <n v="8858"/>
    <n v="15669"/>
    <n v="0"/>
    <s v="Y"/>
    <x v="1"/>
    <n v="11"/>
    <x v="0"/>
    <n v="2"/>
    <n v="80"/>
    <x v="0"/>
    <n v="15"/>
    <x v="2"/>
    <x v="2"/>
    <n v="14"/>
    <n v="8"/>
    <x v="4"/>
    <n v="8"/>
  </r>
  <r>
    <n v="55"/>
    <x v="1"/>
    <x v="2"/>
    <n v="444"/>
    <x v="1"/>
    <x v="2"/>
    <x v="1"/>
    <s v="Medical"/>
    <n v="1"/>
    <n v="1074"/>
    <n v="3"/>
    <x v="1"/>
    <n v="40"/>
    <x v="1"/>
    <n v="4"/>
    <x v="5"/>
    <n v="1"/>
    <x v="0"/>
    <n v="16756"/>
    <n v="17323"/>
    <n v="7"/>
    <s v="Y"/>
    <x v="1"/>
    <n v="15"/>
    <x v="0"/>
    <n v="2"/>
    <n v="80"/>
    <x v="0"/>
    <n v="31"/>
    <x v="1"/>
    <x v="3"/>
    <n v="9"/>
    <n v="7"/>
    <x v="7"/>
    <n v="2"/>
  </r>
  <r>
    <n v="43"/>
    <x v="1"/>
    <x v="0"/>
    <n v="415"/>
    <x v="0"/>
    <x v="19"/>
    <x v="3"/>
    <s v="Medical"/>
    <n v="1"/>
    <n v="1076"/>
    <n v="3"/>
    <x v="1"/>
    <n v="79"/>
    <x v="1"/>
    <n v="3"/>
    <x v="0"/>
    <n v="4"/>
    <x v="2"/>
    <n v="10798"/>
    <n v="5268"/>
    <n v="5"/>
    <s v="Y"/>
    <x v="1"/>
    <n v="13"/>
    <x v="0"/>
    <n v="3"/>
    <n v="80"/>
    <x v="1"/>
    <n v="18"/>
    <x v="3"/>
    <x v="1"/>
    <n v="1"/>
    <n v="0"/>
    <x v="0"/>
    <n v="0"/>
  </r>
  <r>
    <n v="20"/>
    <x v="0"/>
    <x v="1"/>
    <n v="769"/>
    <x v="0"/>
    <x v="14"/>
    <x v="3"/>
    <s v="Marketing"/>
    <n v="1"/>
    <n v="1077"/>
    <n v="4"/>
    <x v="0"/>
    <n v="54"/>
    <x v="0"/>
    <n v="1"/>
    <x v="6"/>
    <n v="4"/>
    <x v="0"/>
    <n v="2323"/>
    <n v="17205"/>
    <n v="1"/>
    <s v="Y"/>
    <x v="0"/>
    <n v="14"/>
    <x v="0"/>
    <n v="2"/>
    <n v="80"/>
    <x v="0"/>
    <n v="2"/>
    <x v="1"/>
    <x v="1"/>
    <n v="2"/>
    <n v="2"/>
    <x v="0"/>
    <n v="2"/>
  </r>
  <r>
    <n v="21"/>
    <x v="0"/>
    <x v="0"/>
    <n v="1334"/>
    <x v="1"/>
    <x v="17"/>
    <x v="3"/>
    <s v="Life Sciences"/>
    <n v="1"/>
    <n v="1079"/>
    <n v="3"/>
    <x v="0"/>
    <n v="36"/>
    <x v="1"/>
    <n v="1"/>
    <x v="2"/>
    <n v="1"/>
    <x v="0"/>
    <n v="1416"/>
    <n v="17258"/>
    <n v="1"/>
    <s v="Y"/>
    <x v="1"/>
    <n v="13"/>
    <x v="0"/>
    <n v="1"/>
    <n v="80"/>
    <x v="0"/>
    <n v="1"/>
    <x v="6"/>
    <x v="2"/>
    <n v="1"/>
    <n v="0"/>
    <x v="1"/>
    <n v="0"/>
  </r>
  <r>
    <n v="46"/>
    <x v="1"/>
    <x v="0"/>
    <n v="1003"/>
    <x v="1"/>
    <x v="1"/>
    <x v="2"/>
    <s v="Life Sciences"/>
    <n v="1"/>
    <n v="1080"/>
    <n v="4"/>
    <x v="0"/>
    <n v="74"/>
    <x v="1"/>
    <n v="2"/>
    <x v="1"/>
    <n v="1"/>
    <x v="2"/>
    <n v="4615"/>
    <n v="21029"/>
    <n v="8"/>
    <s v="Y"/>
    <x v="0"/>
    <n v="23"/>
    <x v="1"/>
    <n v="1"/>
    <n v="80"/>
    <x v="2"/>
    <n v="19"/>
    <x v="2"/>
    <x v="1"/>
    <n v="16"/>
    <n v="13"/>
    <x v="1"/>
    <n v="7"/>
  </r>
  <r>
    <n v="51"/>
    <x v="0"/>
    <x v="0"/>
    <n v="1323"/>
    <x v="1"/>
    <x v="18"/>
    <x v="2"/>
    <s v="Life Sciences"/>
    <n v="1"/>
    <n v="1081"/>
    <n v="1"/>
    <x v="1"/>
    <n v="34"/>
    <x v="0"/>
    <n v="1"/>
    <x v="1"/>
    <n v="3"/>
    <x v="1"/>
    <n v="2461"/>
    <n v="10332"/>
    <n v="9"/>
    <s v="Y"/>
    <x v="0"/>
    <n v="12"/>
    <x v="0"/>
    <n v="3"/>
    <n v="80"/>
    <x v="2"/>
    <n v="18"/>
    <x v="2"/>
    <x v="3"/>
    <n v="10"/>
    <n v="0"/>
    <x v="3"/>
    <n v="7"/>
  </r>
  <r>
    <n v="28"/>
    <x v="0"/>
    <x v="2"/>
    <n v="1366"/>
    <x v="1"/>
    <x v="4"/>
    <x v="0"/>
    <s v="Technical Degree"/>
    <n v="1"/>
    <n v="1082"/>
    <n v="2"/>
    <x v="1"/>
    <n v="72"/>
    <x v="1"/>
    <n v="3"/>
    <x v="4"/>
    <n v="1"/>
    <x v="0"/>
    <n v="8722"/>
    <n v="12355"/>
    <n v="1"/>
    <s v="Y"/>
    <x v="1"/>
    <n v="12"/>
    <x v="0"/>
    <n v="1"/>
    <n v="80"/>
    <x v="0"/>
    <n v="10"/>
    <x v="2"/>
    <x v="2"/>
    <n v="10"/>
    <n v="7"/>
    <x v="1"/>
    <n v="9"/>
  </r>
  <r>
    <n v="26"/>
    <x v="1"/>
    <x v="0"/>
    <n v="192"/>
    <x v="1"/>
    <x v="0"/>
    <x v="0"/>
    <s v="Medical"/>
    <n v="1"/>
    <n v="1083"/>
    <n v="1"/>
    <x v="1"/>
    <n v="59"/>
    <x v="1"/>
    <n v="1"/>
    <x v="2"/>
    <n v="1"/>
    <x v="1"/>
    <n v="3955"/>
    <n v="11141"/>
    <n v="1"/>
    <s v="Y"/>
    <x v="1"/>
    <n v="16"/>
    <x v="0"/>
    <n v="1"/>
    <n v="80"/>
    <x v="3"/>
    <n v="6"/>
    <x v="2"/>
    <x v="1"/>
    <n v="5"/>
    <n v="3"/>
    <x v="1"/>
    <n v="3"/>
  </r>
  <r>
    <n v="30"/>
    <x v="1"/>
    <x v="0"/>
    <n v="1176"/>
    <x v="1"/>
    <x v="25"/>
    <x v="3"/>
    <s v="Other"/>
    <n v="1"/>
    <n v="1084"/>
    <n v="3"/>
    <x v="1"/>
    <n v="85"/>
    <x v="0"/>
    <n v="2"/>
    <x v="3"/>
    <n v="1"/>
    <x v="1"/>
    <n v="9957"/>
    <n v="9096"/>
    <n v="0"/>
    <s v="Y"/>
    <x v="1"/>
    <n v="15"/>
    <x v="0"/>
    <n v="3"/>
    <n v="80"/>
    <x v="1"/>
    <n v="7"/>
    <x v="4"/>
    <x v="2"/>
    <n v="6"/>
    <n v="2"/>
    <x v="0"/>
    <n v="2"/>
  </r>
  <r>
    <n v="41"/>
    <x v="1"/>
    <x v="0"/>
    <n v="509"/>
    <x v="1"/>
    <x v="15"/>
    <x v="0"/>
    <s v="Technical Degree"/>
    <n v="1"/>
    <n v="1085"/>
    <n v="2"/>
    <x v="0"/>
    <n v="43"/>
    <x v="2"/>
    <n v="1"/>
    <x v="1"/>
    <n v="3"/>
    <x v="1"/>
    <n v="3376"/>
    <n v="18863"/>
    <n v="1"/>
    <s v="Y"/>
    <x v="1"/>
    <n v="13"/>
    <x v="0"/>
    <n v="3"/>
    <n v="80"/>
    <x v="0"/>
    <n v="10"/>
    <x v="1"/>
    <x v="1"/>
    <n v="10"/>
    <n v="6"/>
    <x v="0"/>
    <n v="8"/>
  </r>
  <r>
    <n v="38"/>
    <x v="1"/>
    <x v="0"/>
    <n v="330"/>
    <x v="1"/>
    <x v="27"/>
    <x v="1"/>
    <s v="Life Sciences"/>
    <n v="1"/>
    <n v="1088"/>
    <n v="3"/>
    <x v="0"/>
    <n v="65"/>
    <x v="1"/>
    <n v="3"/>
    <x v="4"/>
    <n v="3"/>
    <x v="1"/>
    <n v="8823"/>
    <n v="24608"/>
    <n v="0"/>
    <s v="Y"/>
    <x v="1"/>
    <n v="18"/>
    <x v="0"/>
    <n v="1"/>
    <n v="80"/>
    <x v="1"/>
    <n v="20"/>
    <x v="5"/>
    <x v="2"/>
    <n v="19"/>
    <n v="9"/>
    <x v="1"/>
    <n v="9"/>
  </r>
  <r>
    <n v="40"/>
    <x v="1"/>
    <x v="0"/>
    <n v="1492"/>
    <x v="1"/>
    <x v="25"/>
    <x v="2"/>
    <s v="Technical Degree"/>
    <n v="1"/>
    <n v="1092"/>
    <n v="1"/>
    <x v="1"/>
    <n v="61"/>
    <x v="0"/>
    <n v="3"/>
    <x v="4"/>
    <n v="4"/>
    <x v="1"/>
    <n v="10322"/>
    <n v="26542"/>
    <n v="4"/>
    <s v="Y"/>
    <x v="1"/>
    <n v="20"/>
    <x v="1"/>
    <n v="4"/>
    <n v="80"/>
    <x v="1"/>
    <n v="14"/>
    <x v="6"/>
    <x v="1"/>
    <n v="11"/>
    <n v="10"/>
    <x v="14"/>
    <n v="1"/>
  </r>
  <r>
    <n v="27"/>
    <x v="1"/>
    <x v="2"/>
    <n v="1277"/>
    <x v="1"/>
    <x v="1"/>
    <x v="4"/>
    <s v="Life Sciences"/>
    <n v="1"/>
    <n v="1094"/>
    <n v="1"/>
    <x v="1"/>
    <n v="87"/>
    <x v="3"/>
    <n v="1"/>
    <x v="2"/>
    <n v="3"/>
    <x v="1"/>
    <n v="4621"/>
    <n v="5869"/>
    <n v="1"/>
    <s v="Y"/>
    <x v="1"/>
    <n v="19"/>
    <x v="0"/>
    <n v="4"/>
    <n v="80"/>
    <x v="2"/>
    <n v="3"/>
    <x v="5"/>
    <x v="1"/>
    <n v="3"/>
    <n v="2"/>
    <x v="1"/>
    <n v="2"/>
  </r>
  <r>
    <n v="55"/>
    <x v="1"/>
    <x v="1"/>
    <n v="1091"/>
    <x v="1"/>
    <x v="2"/>
    <x v="1"/>
    <s v="Life Sciences"/>
    <n v="1"/>
    <n v="1096"/>
    <n v="4"/>
    <x v="1"/>
    <n v="65"/>
    <x v="0"/>
    <n v="3"/>
    <x v="3"/>
    <n v="2"/>
    <x v="1"/>
    <n v="10976"/>
    <n v="15813"/>
    <n v="3"/>
    <s v="Y"/>
    <x v="1"/>
    <n v="18"/>
    <x v="0"/>
    <n v="2"/>
    <n v="80"/>
    <x v="1"/>
    <n v="23"/>
    <x v="5"/>
    <x v="1"/>
    <n v="3"/>
    <n v="2"/>
    <x v="1"/>
    <n v="2"/>
  </r>
  <r>
    <n v="28"/>
    <x v="1"/>
    <x v="0"/>
    <n v="857"/>
    <x v="1"/>
    <x v="17"/>
    <x v="3"/>
    <s v="Other"/>
    <n v="1"/>
    <n v="1097"/>
    <n v="3"/>
    <x v="0"/>
    <n v="59"/>
    <x v="0"/>
    <n v="2"/>
    <x v="1"/>
    <n v="3"/>
    <x v="0"/>
    <n v="3660"/>
    <n v="7909"/>
    <n v="3"/>
    <s v="Y"/>
    <x v="1"/>
    <n v="13"/>
    <x v="0"/>
    <n v="4"/>
    <n v="80"/>
    <x v="0"/>
    <n v="10"/>
    <x v="5"/>
    <x v="3"/>
    <n v="8"/>
    <n v="7"/>
    <x v="1"/>
    <n v="7"/>
  </r>
  <r>
    <n v="44"/>
    <x v="0"/>
    <x v="0"/>
    <n v="1376"/>
    <x v="2"/>
    <x v="0"/>
    <x v="0"/>
    <s v="Medical"/>
    <n v="1"/>
    <n v="1098"/>
    <n v="2"/>
    <x v="1"/>
    <n v="91"/>
    <x v="1"/>
    <n v="3"/>
    <x v="8"/>
    <n v="1"/>
    <x v="1"/>
    <n v="10482"/>
    <n v="2326"/>
    <n v="9"/>
    <s v="Y"/>
    <x v="1"/>
    <n v="14"/>
    <x v="0"/>
    <n v="4"/>
    <n v="80"/>
    <x v="1"/>
    <n v="24"/>
    <x v="4"/>
    <x v="1"/>
    <n v="20"/>
    <n v="6"/>
    <x v="2"/>
    <n v="6"/>
  </r>
  <r>
    <n v="33"/>
    <x v="1"/>
    <x v="0"/>
    <n v="654"/>
    <x v="1"/>
    <x v="12"/>
    <x v="3"/>
    <s v="Life Sciences"/>
    <n v="1"/>
    <n v="1099"/>
    <n v="4"/>
    <x v="1"/>
    <n v="34"/>
    <x v="1"/>
    <n v="3"/>
    <x v="4"/>
    <n v="4"/>
    <x v="2"/>
    <n v="7119"/>
    <n v="21214"/>
    <n v="4"/>
    <s v="Y"/>
    <x v="1"/>
    <n v="15"/>
    <x v="0"/>
    <n v="3"/>
    <n v="80"/>
    <x v="1"/>
    <n v="9"/>
    <x v="2"/>
    <x v="1"/>
    <n v="3"/>
    <n v="2"/>
    <x v="1"/>
    <n v="2"/>
  </r>
  <r>
    <n v="35"/>
    <x v="0"/>
    <x v="0"/>
    <n v="1204"/>
    <x v="0"/>
    <x v="18"/>
    <x v="3"/>
    <s v="Technical Degree"/>
    <n v="1"/>
    <n v="1100"/>
    <n v="4"/>
    <x v="1"/>
    <n v="86"/>
    <x v="0"/>
    <n v="3"/>
    <x v="0"/>
    <n v="1"/>
    <x v="0"/>
    <n v="9582"/>
    <n v="10333"/>
    <n v="0"/>
    <s v="Y"/>
    <x v="0"/>
    <n v="22"/>
    <x v="1"/>
    <n v="1"/>
    <n v="80"/>
    <x v="0"/>
    <n v="9"/>
    <x v="2"/>
    <x v="1"/>
    <n v="8"/>
    <n v="7"/>
    <x v="5"/>
    <n v="7"/>
  </r>
  <r>
    <n v="33"/>
    <x v="0"/>
    <x v="1"/>
    <n v="827"/>
    <x v="1"/>
    <x v="22"/>
    <x v="2"/>
    <s v="Medical"/>
    <n v="1"/>
    <n v="1101"/>
    <n v="1"/>
    <x v="0"/>
    <n v="54"/>
    <x v="1"/>
    <n v="2"/>
    <x v="1"/>
    <n v="3"/>
    <x v="0"/>
    <n v="4508"/>
    <n v="3129"/>
    <n v="1"/>
    <s v="Y"/>
    <x v="1"/>
    <n v="22"/>
    <x v="1"/>
    <n v="2"/>
    <n v="80"/>
    <x v="0"/>
    <n v="14"/>
    <x v="5"/>
    <x v="1"/>
    <n v="13"/>
    <n v="7"/>
    <x v="2"/>
    <n v="8"/>
  </r>
  <r>
    <n v="28"/>
    <x v="1"/>
    <x v="0"/>
    <n v="895"/>
    <x v="1"/>
    <x v="8"/>
    <x v="0"/>
    <s v="Life Sciences"/>
    <n v="1"/>
    <n v="1102"/>
    <n v="1"/>
    <x v="1"/>
    <n v="50"/>
    <x v="0"/>
    <n v="1"/>
    <x v="2"/>
    <n v="3"/>
    <x v="2"/>
    <n v="2207"/>
    <n v="22482"/>
    <n v="1"/>
    <s v="Y"/>
    <x v="1"/>
    <n v="16"/>
    <x v="0"/>
    <n v="4"/>
    <n v="80"/>
    <x v="1"/>
    <n v="4"/>
    <x v="3"/>
    <x v="2"/>
    <n v="4"/>
    <n v="2"/>
    <x v="3"/>
    <n v="2"/>
  </r>
  <r>
    <n v="34"/>
    <x v="1"/>
    <x v="1"/>
    <n v="618"/>
    <x v="1"/>
    <x v="3"/>
    <x v="1"/>
    <s v="Life Sciences"/>
    <n v="1"/>
    <n v="1103"/>
    <n v="1"/>
    <x v="1"/>
    <n v="45"/>
    <x v="0"/>
    <n v="2"/>
    <x v="4"/>
    <n v="4"/>
    <x v="0"/>
    <n v="7756"/>
    <n v="22266"/>
    <n v="0"/>
    <s v="Y"/>
    <x v="1"/>
    <n v="17"/>
    <x v="0"/>
    <n v="3"/>
    <n v="80"/>
    <x v="0"/>
    <n v="7"/>
    <x v="4"/>
    <x v="2"/>
    <n v="6"/>
    <n v="2"/>
    <x v="0"/>
    <n v="4"/>
  </r>
  <r>
    <n v="37"/>
    <x v="1"/>
    <x v="0"/>
    <n v="309"/>
    <x v="0"/>
    <x v="17"/>
    <x v="2"/>
    <s v="Life Sciences"/>
    <n v="1"/>
    <n v="1105"/>
    <n v="4"/>
    <x v="0"/>
    <n v="88"/>
    <x v="1"/>
    <n v="2"/>
    <x v="0"/>
    <n v="4"/>
    <x v="2"/>
    <n v="6694"/>
    <n v="24223"/>
    <n v="2"/>
    <s v="Y"/>
    <x v="0"/>
    <n v="14"/>
    <x v="0"/>
    <n v="3"/>
    <n v="80"/>
    <x v="2"/>
    <n v="8"/>
    <x v="3"/>
    <x v="1"/>
    <n v="1"/>
    <n v="0"/>
    <x v="0"/>
    <n v="0"/>
  </r>
  <r>
    <n v="25"/>
    <x v="0"/>
    <x v="0"/>
    <n v="1219"/>
    <x v="1"/>
    <x v="18"/>
    <x v="1"/>
    <s v="Technical Degree"/>
    <n v="1"/>
    <n v="1106"/>
    <n v="4"/>
    <x v="1"/>
    <n v="32"/>
    <x v="0"/>
    <n v="1"/>
    <x v="2"/>
    <n v="4"/>
    <x v="1"/>
    <n v="3691"/>
    <n v="4605"/>
    <n v="1"/>
    <s v="Y"/>
    <x v="0"/>
    <n v="15"/>
    <x v="0"/>
    <n v="2"/>
    <n v="80"/>
    <x v="1"/>
    <n v="7"/>
    <x v="1"/>
    <x v="3"/>
    <n v="7"/>
    <n v="7"/>
    <x v="8"/>
    <n v="6"/>
  </r>
  <r>
    <n v="26"/>
    <x v="0"/>
    <x v="0"/>
    <n v="1330"/>
    <x v="1"/>
    <x v="11"/>
    <x v="3"/>
    <s v="Medical"/>
    <n v="1"/>
    <n v="1107"/>
    <n v="1"/>
    <x v="1"/>
    <n v="37"/>
    <x v="0"/>
    <n v="1"/>
    <x v="2"/>
    <n v="3"/>
    <x v="2"/>
    <n v="2377"/>
    <n v="19373"/>
    <n v="1"/>
    <s v="Y"/>
    <x v="1"/>
    <n v="20"/>
    <x v="1"/>
    <n v="3"/>
    <n v="80"/>
    <x v="1"/>
    <n v="1"/>
    <x v="0"/>
    <x v="2"/>
    <n v="1"/>
    <n v="1"/>
    <x v="0"/>
    <n v="0"/>
  </r>
  <r>
    <n v="33"/>
    <x v="0"/>
    <x v="0"/>
    <n v="1017"/>
    <x v="1"/>
    <x v="19"/>
    <x v="3"/>
    <s v="Medical"/>
    <n v="1"/>
    <n v="1108"/>
    <n v="1"/>
    <x v="1"/>
    <n v="55"/>
    <x v="1"/>
    <n v="1"/>
    <x v="1"/>
    <n v="2"/>
    <x v="0"/>
    <n v="2313"/>
    <n v="2993"/>
    <n v="4"/>
    <s v="Y"/>
    <x v="0"/>
    <n v="20"/>
    <x v="1"/>
    <n v="2"/>
    <n v="80"/>
    <x v="0"/>
    <n v="5"/>
    <x v="0"/>
    <x v="1"/>
    <n v="2"/>
    <n v="2"/>
    <x v="3"/>
    <n v="2"/>
  </r>
  <r>
    <n v="42"/>
    <x v="1"/>
    <x v="0"/>
    <n v="469"/>
    <x v="1"/>
    <x v="2"/>
    <x v="0"/>
    <s v="Medical"/>
    <n v="1"/>
    <n v="1109"/>
    <n v="4"/>
    <x v="1"/>
    <n v="35"/>
    <x v="0"/>
    <n v="4"/>
    <x v="5"/>
    <n v="1"/>
    <x v="1"/>
    <n v="17665"/>
    <n v="14399"/>
    <n v="0"/>
    <s v="Y"/>
    <x v="1"/>
    <n v="17"/>
    <x v="0"/>
    <n v="4"/>
    <n v="80"/>
    <x v="1"/>
    <n v="23"/>
    <x v="1"/>
    <x v="1"/>
    <n v="22"/>
    <n v="6"/>
    <x v="11"/>
    <n v="7"/>
  </r>
  <r>
    <n v="28"/>
    <x v="0"/>
    <x v="1"/>
    <n v="1009"/>
    <x v="1"/>
    <x v="0"/>
    <x v="3"/>
    <s v="Medical"/>
    <n v="1"/>
    <n v="1111"/>
    <n v="1"/>
    <x v="1"/>
    <n v="45"/>
    <x v="1"/>
    <n v="1"/>
    <x v="2"/>
    <n v="2"/>
    <x v="2"/>
    <n v="2596"/>
    <n v="7160"/>
    <n v="1"/>
    <s v="Y"/>
    <x v="1"/>
    <n v="15"/>
    <x v="0"/>
    <n v="1"/>
    <n v="80"/>
    <x v="3"/>
    <n v="1"/>
    <x v="2"/>
    <x v="1"/>
    <n v="1"/>
    <n v="0"/>
    <x v="0"/>
    <n v="0"/>
  </r>
  <r>
    <n v="50"/>
    <x v="0"/>
    <x v="1"/>
    <n v="959"/>
    <x v="0"/>
    <x v="0"/>
    <x v="2"/>
    <s v="Other"/>
    <n v="1"/>
    <n v="1113"/>
    <n v="4"/>
    <x v="1"/>
    <n v="81"/>
    <x v="0"/>
    <n v="2"/>
    <x v="0"/>
    <n v="3"/>
    <x v="0"/>
    <n v="4728"/>
    <n v="17251"/>
    <n v="3"/>
    <s v="Y"/>
    <x v="0"/>
    <n v="14"/>
    <x v="0"/>
    <n v="4"/>
    <n v="80"/>
    <x v="0"/>
    <n v="5"/>
    <x v="5"/>
    <x v="1"/>
    <n v="0"/>
    <n v="0"/>
    <x v="0"/>
    <n v="0"/>
  </r>
  <r>
    <n v="33"/>
    <x v="1"/>
    <x v="1"/>
    <n v="970"/>
    <x v="0"/>
    <x v="15"/>
    <x v="3"/>
    <s v="Life Sciences"/>
    <n v="1"/>
    <n v="1114"/>
    <n v="4"/>
    <x v="0"/>
    <n v="30"/>
    <x v="0"/>
    <n v="2"/>
    <x v="0"/>
    <n v="2"/>
    <x v="1"/>
    <n v="4302"/>
    <n v="13401"/>
    <n v="0"/>
    <s v="Y"/>
    <x v="1"/>
    <n v="17"/>
    <x v="0"/>
    <n v="3"/>
    <n v="80"/>
    <x v="1"/>
    <n v="4"/>
    <x v="1"/>
    <x v="1"/>
    <n v="3"/>
    <n v="2"/>
    <x v="0"/>
    <n v="2"/>
  </r>
  <r>
    <n v="34"/>
    <x v="1"/>
    <x v="2"/>
    <n v="697"/>
    <x v="1"/>
    <x v="3"/>
    <x v="2"/>
    <s v="Life Sciences"/>
    <n v="1"/>
    <n v="1115"/>
    <n v="3"/>
    <x v="1"/>
    <n v="40"/>
    <x v="1"/>
    <n v="1"/>
    <x v="1"/>
    <n v="4"/>
    <x v="1"/>
    <n v="2979"/>
    <n v="22478"/>
    <n v="3"/>
    <s v="Y"/>
    <x v="1"/>
    <n v="17"/>
    <x v="0"/>
    <n v="4"/>
    <n v="80"/>
    <x v="2"/>
    <n v="6"/>
    <x v="2"/>
    <x v="1"/>
    <n v="0"/>
    <n v="0"/>
    <x v="0"/>
    <n v="0"/>
  </r>
  <r>
    <n v="48"/>
    <x v="1"/>
    <x v="2"/>
    <n v="1262"/>
    <x v="1"/>
    <x v="0"/>
    <x v="2"/>
    <s v="Medical"/>
    <n v="1"/>
    <n v="1116"/>
    <n v="1"/>
    <x v="1"/>
    <n v="35"/>
    <x v="2"/>
    <n v="4"/>
    <x v="5"/>
    <n v="4"/>
    <x v="0"/>
    <n v="16885"/>
    <n v="16154"/>
    <n v="2"/>
    <s v="Y"/>
    <x v="1"/>
    <n v="22"/>
    <x v="1"/>
    <n v="3"/>
    <n v="80"/>
    <x v="0"/>
    <n v="27"/>
    <x v="1"/>
    <x v="2"/>
    <n v="5"/>
    <n v="4"/>
    <x v="3"/>
    <n v="1"/>
  </r>
  <r>
    <n v="45"/>
    <x v="1"/>
    <x v="2"/>
    <n v="1050"/>
    <x v="0"/>
    <x v="14"/>
    <x v="2"/>
    <s v="Life Sciences"/>
    <n v="1"/>
    <n v="1117"/>
    <n v="2"/>
    <x v="0"/>
    <n v="65"/>
    <x v="1"/>
    <n v="2"/>
    <x v="0"/>
    <n v="3"/>
    <x v="1"/>
    <n v="5593"/>
    <n v="17970"/>
    <n v="1"/>
    <s v="Y"/>
    <x v="1"/>
    <n v="13"/>
    <x v="0"/>
    <n v="4"/>
    <n v="80"/>
    <x v="1"/>
    <n v="15"/>
    <x v="2"/>
    <x v="1"/>
    <n v="15"/>
    <n v="10"/>
    <x v="5"/>
    <n v="12"/>
  </r>
  <r>
    <n v="52"/>
    <x v="1"/>
    <x v="0"/>
    <n v="994"/>
    <x v="1"/>
    <x v="15"/>
    <x v="2"/>
    <s v="Life Sciences"/>
    <n v="1"/>
    <n v="1118"/>
    <n v="2"/>
    <x v="1"/>
    <n v="87"/>
    <x v="0"/>
    <n v="3"/>
    <x v="4"/>
    <n v="2"/>
    <x v="0"/>
    <n v="10445"/>
    <n v="15322"/>
    <n v="7"/>
    <s v="Y"/>
    <x v="1"/>
    <n v="19"/>
    <x v="0"/>
    <n v="4"/>
    <n v="80"/>
    <x v="0"/>
    <n v="18"/>
    <x v="5"/>
    <x v="1"/>
    <n v="8"/>
    <n v="6"/>
    <x v="5"/>
    <n v="0"/>
  </r>
  <r>
    <n v="38"/>
    <x v="1"/>
    <x v="0"/>
    <n v="770"/>
    <x v="0"/>
    <x v="17"/>
    <x v="2"/>
    <s v="Marketing"/>
    <n v="1"/>
    <n v="1119"/>
    <n v="3"/>
    <x v="1"/>
    <n v="73"/>
    <x v="1"/>
    <n v="3"/>
    <x v="0"/>
    <n v="3"/>
    <x v="2"/>
    <n v="8740"/>
    <n v="5569"/>
    <n v="0"/>
    <s v="Y"/>
    <x v="0"/>
    <n v="14"/>
    <x v="0"/>
    <n v="2"/>
    <n v="80"/>
    <x v="3"/>
    <n v="9"/>
    <x v="2"/>
    <x v="1"/>
    <n v="8"/>
    <n v="7"/>
    <x v="3"/>
    <n v="7"/>
  </r>
  <r>
    <n v="29"/>
    <x v="1"/>
    <x v="0"/>
    <n v="1107"/>
    <x v="1"/>
    <x v="26"/>
    <x v="2"/>
    <s v="Life Sciences"/>
    <n v="1"/>
    <n v="1120"/>
    <n v="3"/>
    <x v="0"/>
    <n v="93"/>
    <x v="0"/>
    <n v="1"/>
    <x v="1"/>
    <n v="4"/>
    <x v="2"/>
    <n v="2514"/>
    <n v="26968"/>
    <n v="4"/>
    <s v="Y"/>
    <x v="1"/>
    <n v="22"/>
    <x v="1"/>
    <n v="1"/>
    <n v="80"/>
    <x v="1"/>
    <n v="11"/>
    <x v="4"/>
    <x v="1"/>
    <n v="7"/>
    <n v="5"/>
    <x v="1"/>
    <n v="7"/>
  </r>
  <r>
    <n v="28"/>
    <x v="1"/>
    <x v="0"/>
    <n v="950"/>
    <x v="1"/>
    <x v="3"/>
    <x v="3"/>
    <s v="Medical"/>
    <n v="1"/>
    <n v="1121"/>
    <n v="4"/>
    <x v="0"/>
    <n v="93"/>
    <x v="0"/>
    <n v="3"/>
    <x v="3"/>
    <n v="2"/>
    <x v="2"/>
    <n v="7655"/>
    <n v="8039"/>
    <n v="0"/>
    <s v="Y"/>
    <x v="1"/>
    <n v="17"/>
    <x v="0"/>
    <n v="2"/>
    <n v="80"/>
    <x v="2"/>
    <n v="10"/>
    <x v="1"/>
    <x v="2"/>
    <n v="9"/>
    <n v="7"/>
    <x v="1"/>
    <n v="7"/>
  </r>
  <r>
    <n v="46"/>
    <x v="1"/>
    <x v="0"/>
    <n v="406"/>
    <x v="0"/>
    <x v="3"/>
    <x v="1"/>
    <s v="Marketing"/>
    <n v="1"/>
    <n v="1124"/>
    <n v="1"/>
    <x v="1"/>
    <n v="52"/>
    <x v="0"/>
    <n v="4"/>
    <x v="5"/>
    <n v="3"/>
    <x v="1"/>
    <n v="17465"/>
    <n v="15596"/>
    <n v="3"/>
    <s v="Y"/>
    <x v="1"/>
    <n v="12"/>
    <x v="0"/>
    <n v="4"/>
    <n v="80"/>
    <x v="1"/>
    <n v="23"/>
    <x v="1"/>
    <x v="1"/>
    <n v="12"/>
    <n v="9"/>
    <x v="5"/>
    <n v="9"/>
  </r>
  <r>
    <n v="38"/>
    <x v="1"/>
    <x v="0"/>
    <n v="130"/>
    <x v="0"/>
    <x v="2"/>
    <x v="0"/>
    <s v="Marketing"/>
    <n v="1"/>
    <n v="1125"/>
    <n v="4"/>
    <x v="1"/>
    <n v="32"/>
    <x v="0"/>
    <n v="3"/>
    <x v="0"/>
    <n v="2"/>
    <x v="0"/>
    <n v="7351"/>
    <n v="20619"/>
    <n v="7"/>
    <s v="Y"/>
    <x v="1"/>
    <n v="16"/>
    <x v="0"/>
    <n v="3"/>
    <n v="80"/>
    <x v="0"/>
    <n v="10"/>
    <x v="2"/>
    <x v="1"/>
    <n v="1"/>
    <n v="0"/>
    <x v="0"/>
    <n v="0"/>
  </r>
  <r>
    <n v="43"/>
    <x v="1"/>
    <x v="1"/>
    <n v="1082"/>
    <x v="1"/>
    <x v="6"/>
    <x v="3"/>
    <s v="Life Sciences"/>
    <n v="1"/>
    <n v="1126"/>
    <n v="3"/>
    <x v="0"/>
    <n v="83"/>
    <x v="0"/>
    <n v="3"/>
    <x v="3"/>
    <n v="1"/>
    <x v="1"/>
    <n v="10820"/>
    <n v="11535"/>
    <n v="8"/>
    <s v="Y"/>
    <x v="1"/>
    <n v="11"/>
    <x v="0"/>
    <n v="3"/>
    <n v="80"/>
    <x v="1"/>
    <n v="18"/>
    <x v="4"/>
    <x v="1"/>
    <n v="8"/>
    <n v="7"/>
    <x v="0"/>
    <n v="1"/>
  </r>
  <r>
    <n v="39"/>
    <x v="0"/>
    <x v="1"/>
    <n v="203"/>
    <x v="1"/>
    <x v="2"/>
    <x v="3"/>
    <s v="Life Sciences"/>
    <n v="1"/>
    <n v="1127"/>
    <n v="1"/>
    <x v="1"/>
    <n v="84"/>
    <x v="0"/>
    <n v="4"/>
    <x v="4"/>
    <n v="4"/>
    <x v="2"/>
    <n v="12169"/>
    <n v="13547"/>
    <n v="7"/>
    <s v="Y"/>
    <x v="1"/>
    <n v="11"/>
    <x v="0"/>
    <n v="4"/>
    <n v="80"/>
    <x v="2"/>
    <n v="21"/>
    <x v="5"/>
    <x v="1"/>
    <n v="18"/>
    <n v="7"/>
    <x v="14"/>
    <n v="5"/>
  </r>
  <r>
    <n v="40"/>
    <x v="1"/>
    <x v="0"/>
    <n v="1308"/>
    <x v="1"/>
    <x v="24"/>
    <x v="3"/>
    <s v="Medical"/>
    <n v="1"/>
    <n v="1128"/>
    <n v="3"/>
    <x v="1"/>
    <n v="44"/>
    <x v="1"/>
    <n v="5"/>
    <x v="7"/>
    <n v="3"/>
    <x v="0"/>
    <n v="19626"/>
    <n v="17544"/>
    <n v="1"/>
    <s v="Y"/>
    <x v="1"/>
    <n v="14"/>
    <x v="0"/>
    <n v="1"/>
    <n v="80"/>
    <x v="0"/>
    <n v="21"/>
    <x v="2"/>
    <x v="3"/>
    <n v="20"/>
    <n v="7"/>
    <x v="5"/>
    <n v="9"/>
  </r>
  <r>
    <n v="21"/>
    <x v="1"/>
    <x v="0"/>
    <n v="984"/>
    <x v="1"/>
    <x v="0"/>
    <x v="1"/>
    <s v="Technical Degree"/>
    <n v="1"/>
    <n v="1131"/>
    <n v="4"/>
    <x v="0"/>
    <n v="70"/>
    <x v="1"/>
    <n v="1"/>
    <x v="1"/>
    <n v="2"/>
    <x v="0"/>
    <n v="2070"/>
    <n v="25326"/>
    <n v="1"/>
    <s v="Y"/>
    <x v="0"/>
    <n v="11"/>
    <x v="0"/>
    <n v="3"/>
    <n v="80"/>
    <x v="0"/>
    <n v="2"/>
    <x v="6"/>
    <x v="3"/>
    <n v="2"/>
    <n v="2"/>
    <x v="3"/>
    <n v="2"/>
  </r>
  <r>
    <n v="39"/>
    <x v="1"/>
    <x v="2"/>
    <n v="439"/>
    <x v="1"/>
    <x v="14"/>
    <x v="3"/>
    <s v="Life Sciences"/>
    <n v="1"/>
    <n v="1132"/>
    <n v="3"/>
    <x v="1"/>
    <n v="70"/>
    <x v="0"/>
    <n v="2"/>
    <x v="2"/>
    <n v="2"/>
    <x v="0"/>
    <n v="6782"/>
    <n v="8770"/>
    <n v="9"/>
    <s v="Y"/>
    <x v="1"/>
    <n v="15"/>
    <x v="0"/>
    <n v="3"/>
    <n v="80"/>
    <x v="0"/>
    <n v="9"/>
    <x v="2"/>
    <x v="2"/>
    <n v="5"/>
    <n v="4"/>
    <x v="0"/>
    <n v="3"/>
  </r>
  <r>
    <n v="36"/>
    <x v="1"/>
    <x v="2"/>
    <n v="217"/>
    <x v="1"/>
    <x v="21"/>
    <x v="2"/>
    <s v="Life Sciences"/>
    <n v="1"/>
    <n v="1133"/>
    <n v="1"/>
    <x v="1"/>
    <n v="78"/>
    <x v="0"/>
    <n v="2"/>
    <x v="3"/>
    <n v="4"/>
    <x v="0"/>
    <n v="7779"/>
    <n v="23238"/>
    <n v="2"/>
    <s v="Y"/>
    <x v="1"/>
    <n v="20"/>
    <x v="1"/>
    <n v="1"/>
    <n v="80"/>
    <x v="0"/>
    <n v="18"/>
    <x v="0"/>
    <x v="1"/>
    <n v="11"/>
    <n v="9"/>
    <x v="0"/>
    <n v="9"/>
  </r>
  <r>
    <n v="31"/>
    <x v="1"/>
    <x v="1"/>
    <n v="793"/>
    <x v="0"/>
    <x v="25"/>
    <x v="3"/>
    <s v="Life Sciences"/>
    <n v="1"/>
    <n v="1135"/>
    <n v="3"/>
    <x v="1"/>
    <n v="67"/>
    <x v="2"/>
    <n v="1"/>
    <x v="6"/>
    <n v="4"/>
    <x v="1"/>
    <n v="2791"/>
    <n v="21981"/>
    <n v="0"/>
    <s v="Y"/>
    <x v="1"/>
    <n v="12"/>
    <x v="0"/>
    <n v="1"/>
    <n v="80"/>
    <x v="1"/>
    <n v="3"/>
    <x v="5"/>
    <x v="1"/>
    <n v="2"/>
    <n v="2"/>
    <x v="3"/>
    <n v="2"/>
  </r>
  <r>
    <n v="28"/>
    <x v="1"/>
    <x v="0"/>
    <n v="1451"/>
    <x v="1"/>
    <x v="2"/>
    <x v="1"/>
    <s v="Life Sciences"/>
    <n v="1"/>
    <n v="1136"/>
    <n v="1"/>
    <x v="1"/>
    <n v="67"/>
    <x v="1"/>
    <n v="1"/>
    <x v="1"/>
    <n v="2"/>
    <x v="1"/>
    <n v="3201"/>
    <n v="19911"/>
    <n v="0"/>
    <s v="Y"/>
    <x v="1"/>
    <n v="17"/>
    <x v="0"/>
    <n v="1"/>
    <n v="80"/>
    <x v="0"/>
    <n v="6"/>
    <x v="2"/>
    <x v="0"/>
    <n v="5"/>
    <n v="3"/>
    <x v="0"/>
    <n v="4"/>
  </r>
  <r>
    <n v="35"/>
    <x v="1"/>
    <x v="1"/>
    <n v="1182"/>
    <x v="0"/>
    <x v="13"/>
    <x v="0"/>
    <s v="Marketing"/>
    <n v="1"/>
    <n v="1137"/>
    <n v="4"/>
    <x v="1"/>
    <n v="54"/>
    <x v="0"/>
    <n v="2"/>
    <x v="0"/>
    <n v="4"/>
    <x v="2"/>
    <n v="4968"/>
    <n v="18500"/>
    <n v="1"/>
    <s v="Y"/>
    <x v="1"/>
    <n v="11"/>
    <x v="0"/>
    <n v="4"/>
    <n v="80"/>
    <x v="1"/>
    <n v="5"/>
    <x v="1"/>
    <x v="1"/>
    <n v="5"/>
    <n v="2"/>
    <x v="0"/>
    <n v="2"/>
  </r>
  <r>
    <n v="49"/>
    <x v="1"/>
    <x v="0"/>
    <n v="174"/>
    <x v="0"/>
    <x v="1"/>
    <x v="2"/>
    <s v="Technical Degree"/>
    <n v="1"/>
    <n v="1138"/>
    <n v="4"/>
    <x v="1"/>
    <n v="56"/>
    <x v="1"/>
    <n v="4"/>
    <x v="0"/>
    <n v="2"/>
    <x v="1"/>
    <n v="13120"/>
    <n v="11879"/>
    <n v="6"/>
    <s v="Y"/>
    <x v="1"/>
    <n v="17"/>
    <x v="0"/>
    <n v="2"/>
    <n v="80"/>
    <x v="1"/>
    <n v="22"/>
    <x v="1"/>
    <x v="1"/>
    <n v="9"/>
    <n v="8"/>
    <x v="3"/>
    <n v="3"/>
  </r>
  <r>
    <n v="34"/>
    <x v="1"/>
    <x v="1"/>
    <n v="1003"/>
    <x v="1"/>
    <x v="2"/>
    <x v="0"/>
    <s v="Life Sciences"/>
    <n v="1"/>
    <n v="1140"/>
    <n v="4"/>
    <x v="1"/>
    <n v="95"/>
    <x v="0"/>
    <n v="2"/>
    <x v="3"/>
    <n v="3"/>
    <x v="0"/>
    <n v="4033"/>
    <n v="15834"/>
    <n v="2"/>
    <s v="Y"/>
    <x v="1"/>
    <n v="11"/>
    <x v="0"/>
    <n v="4"/>
    <n v="80"/>
    <x v="0"/>
    <n v="5"/>
    <x v="1"/>
    <x v="2"/>
    <n v="3"/>
    <n v="2"/>
    <x v="0"/>
    <n v="2"/>
  </r>
  <r>
    <n v="29"/>
    <x v="1"/>
    <x v="1"/>
    <n v="490"/>
    <x v="1"/>
    <x v="17"/>
    <x v="3"/>
    <s v="Life Sciences"/>
    <n v="1"/>
    <n v="1143"/>
    <n v="4"/>
    <x v="0"/>
    <n v="61"/>
    <x v="0"/>
    <n v="1"/>
    <x v="1"/>
    <n v="2"/>
    <x v="2"/>
    <n v="3291"/>
    <n v="17940"/>
    <n v="0"/>
    <s v="Y"/>
    <x v="1"/>
    <n v="14"/>
    <x v="0"/>
    <n v="4"/>
    <n v="80"/>
    <x v="3"/>
    <n v="8"/>
    <x v="2"/>
    <x v="2"/>
    <n v="7"/>
    <n v="5"/>
    <x v="1"/>
    <n v="1"/>
  </r>
  <r>
    <n v="42"/>
    <x v="1"/>
    <x v="0"/>
    <n v="188"/>
    <x v="1"/>
    <x v="22"/>
    <x v="3"/>
    <s v="Medical"/>
    <n v="1"/>
    <n v="1148"/>
    <n v="2"/>
    <x v="1"/>
    <n v="56"/>
    <x v="3"/>
    <n v="2"/>
    <x v="2"/>
    <n v="4"/>
    <x v="0"/>
    <n v="4272"/>
    <n v="9558"/>
    <n v="4"/>
    <s v="Y"/>
    <x v="1"/>
    <n v="19"/>
    <x v="0"/>
    <n v="1"/>
    <n v="80"/>
    <x v="0"/>
    <n v="16"/>
    <x v="1"/>
    <x v="1"/>
    <n v="1"/>
    <n v="0"/>
    <x v="0"/>
    <n v="0"/>
  </r>
  <r>
    <n v="29"/>
    <x v="1"/>
    <x v="0"/>
    <n v="718"/>
    <x v="1"/>
    <x v="1"/>
    <x v="1"/>
    <s v="Medical"/>
    <n v="1"/>
    <n v="1150"/>
    <n v="2"/>
    <x v="1"/>
    <n v="79"/>
    <x v="1"/>
    <n v="2"/>
    <x v="3"/>
    <n v="4"/>
    <x v="1"/>
    <n v="5056"/>
    <n v="17689"/>
    <n v="1"/>
    <s v="Y"/>
    <x v="0"/>
    <n v="15"/>
    <x v="0"/>
    <n v="3"/>
    <n v="80"/>
    <x v="1"/>
    <n v="10"/>
    <x v="2"/>
    <x v="2"/>
    <n v="10"/>
    <n v="7"/>
    <x v="1"/>
    <n v="2"/>
  </r>
  <r>
    <n v="38"/>
    <x v="1"/>
    <x v="0"/>
    <n v="433"/>
    <x v="2"/>
    <x v="0"/>
    <x v="3"/>
    <s v="Human Resources"/>
    <n v="1"/>
    <n v="1152"/>
    <n v="3"/>
    <x v="1"/>
    <n v="37"/>
    <x v="2"/>
    <n v="1"/>
    <x v="8"/>
    <n v="3"/>
    <x v="1"/>
    <n v="2844"/>
    <n v="6004"/>
    <n v="1"/>
    <s v="Y"/>
    <x v="1"/>
    <n v="13"/>
    <x v="0"/>
    <n v="4"/>
    <n v="80"/>
    <x v="1"/>
    <n v="7"/>
    <x v="2"/>
    <x v="3"/>
    <n v="7"/>
    <n v="6"/>
    <x v="8"/>
    <n v="0"/>
  </r>
  <r>
    <n v="28"/>
    <x v="1"/>
    <x v="1"/>
    <n v="773"/>
    <x v="1"/>
    <x v="16"/>
    <x v="3"/>
    <s v="Life Sciences"/>
    <n v="1"/>
    <n v="1154"/>
    <n v="3"/>
    <x v="1"/>
    <n v="39"/>
    <x v="1"/>
    <n v="1"/>
    <x v="1"/>
    <n v="3"/>
    <x v="2"/>
    <n v="2703"/>
    <n v="22088"/>
    <n v="1"/>
    <s v="Y"/>
    <x v="0"/>
    <n v="14"/>
    <x v="0"/>
    <n v="4"/>
    <n v="80"/>
    <x v="1"/>
    <n v="3"/>
    <x v="2"/>
    <x v="1"/>
    <n v="3"/>
    <n v="1"/>
    <x v="0"/>
    <n v="2"/>
  </r>
  <r>
    <n v="18"/>
    <x v="0"/>
    <x v="2"/>
    <n v="247"/>
    <x v="1"/>
    <x v="1"/>
    <x v="1"/>
    <s v="Medical"/>
    <n v="1"/>
    <n v="1156"/>
    <n v="3"/>
    <x v="1"/>
    <n v="80"/>
    <x v="0"/>
    <n v="1"/>
    <x v="2"/>
    <n v="3"/>
    <x v="0"/>
    <n v="1904"/>
    <n v="13556"/>
    <n v="1"/>
    <s v="Y"/>
    <x v="1"/>
    <n v="12"/>
    <x v="0"/>
    <n v="4"/>
    <n v="80"/>
    <x v="0"/>
    <n v="0"/>
    <x v="0"/>
    <x v="1"/>
    <n v="0"/>
    <n v="0"/>
    <x v="0"/>
    <n v="0"/>
  </r>
  <r>
    <n v="33"/>
    <x v="0"/>
    <x v="0"/>
    <n v="603"/>
    <x v="0"/>
    <x v="14"/>
    <x v="2"/>
    <s v="Marketing"/>
    <n v="1"/>
    <n v="1157"/>
    <n v="1"/>
    <x v="0"/>
    <n v="77"/>
    <x v="0"/>
    <n v="2"/>
    <x v="0"/>
    <n v="1"/>
    <x v="0"/>
    <n v="8224"/>
    <n v="18385"/>
    <n v="0"/>
    <s v="Y"/>
    <x v="0"/>
    <n v="17"/>
    <x v="0"/>
    <n v="1"/>
    <n v="80"/>
    <x v="0"/>
    <n v="6"/>
    <x v="1"/>
    <x v="1"/>
    <n v="5"/>
    <n v="2"/>
    <x v="0"/>
    <n v="3"/>
  </r>
  <r>
    <n v="41"/>
    <x v="1"/>
    <x v="0"/>
    <n v="167"/>
    <x v="1"/>
    <x v="20"/>
    <x v="2"/>
    <s v="Life Sciences"/>
    <n v="1"/>
    <n v="1158"/>
    <n v="2"/>
    <x v="1"/>
    <n v="46"/>
    <x v="0"/>
    <n v="1"/>
    <x v="2"/>
    <n v="4"/>
    <x v="1"/>
    <n v="4766"/>
    <n v="9051"/>
    <n v="3"/>
    <s v="Y"/>
    <x v="0"/>
    <n v="11"/>
    <x v="0"/>
    <n v="1"/>
    <n v="80"/>
    <x v="1"/>
    <n v="6"/>
    <x v="5"/>
    <x v="1"/>
    <n v="1"/>
    <n v="0"/>
    <x v="0"/>
    <n v="0"/>
  </r>
  <r>
    <n v="31"/>
    <x v="0"/>
    <x v="1"/>
    <n v="874"/>
    <x v="1"/>
    <x v="8"/>
    <x v="3"/>
    <s v="Medical"/>
    <n v="1"/>
    <n v="1160"/>
    <n v="3"/>
    <x v="1"/>
    <n v="72"/>
    <x v="0"/>
    <n v="1"/>
    <x v="2"/>
    <n v="3"/>
    <x v="1"/>
    <n v="2610"/>
    <n v="6233"/>
    <n v="1"/>
    <s v="Y"/>
    <x v="1"/>
    <n v="12"/>
    <x v="0"/>
    <n v="3"/>
    <n v="80"/>
    <x v="1"/>
    <n v="2"/>
    <x v="3"/>
    <x v="2"/>
    <n v="2"/>
    <n v="2"/>
    <x v="3"/>
    <n v="2"/>
  </r>
  <r>
    <n v="37"/>
    <x v="1"/>
    <x v="0"/>
    <n v="367"/>
    <x v="1"/>
    <x v="19"/>
    <x v="0"/>
    <s v="Medical"/>
    <n v="1"/>
    <n v="1161"/>
    <n v="3"/>
    <x v="0"/>
    <n v="52"/>
    <x v="1"/>
    <n v="2"/>
    <x v="4"/>
    <n v="4"/>
    <x v="2"/>
    <n v="5731"/>
    <n v="17171"/>
    <n v="7"/>
    <s v="Y"/>
    <x v="1"/>
    <n v="13"/>
    <x v="0"/>
    <n v="3"/>
    <n v="80"/>
    <x v="3"/>
    <n v="9"/>
    <x v="2"/>
    <x v="1"/>
    <n v="6"/>
    <n v="2"/>
    <x v="1"/>
    <n v="3"/>
  </r>
  <r>
    <n v="27"/>
    <x v="1"/>
    <x v="0"/>
    <n v="199"/>
    <x v="1"/>
    <x v="16"/>
    <x v="3"/>
    <s v="Life Sciences"/>
    <n v="1"/>
    <n v="1162"/>
    <n v="4"/>
    <x v="1"/>
    <n v="55"/>
    <x v="1"/>
    <n v="1"/>
    <x v="1"/>
    <n v="3"/>
    <x v="1"/>
    <n v="2539"/>
    <n v="7950"/>
    <n v="1"/>
    <s v="Y"/>
    <x v="1"/>
    <n v="13"/>
    <x v="0"/>
    <n v="3"/>
    <n v="80"/>
    <x v="1"/>
    <n v="4"/>
    <x v="0"/>
    <x v="1"/>
    <n v="4"/>
    <n v="2"/>
    <x v="3"/>
    <n v="2"/>
  </r>
  <r>
    <n v="34"/>
    <x v="1"/>
    <x v="0"/>
    <n v="1400"/>
    <x v="0"/>
    <x v="14"/>
    <x v="1"/>
    <s v="Life Sciences"/>
    <n v="1"/>
    <n v="1163"/>
    <n v="2"/>
    <x v="0"/>
    <n v="70"/>
    <x v="0"/>
    <n v="2"/>
    <x v="0"/>
    <n v="3"/>
    <x v="1"/>
    <n v="5714"/>
    <n v="5829"/>
    <n v="1"/>
    <s v="Y"/>
    <x v="1"/>
    <n v="20"/>
    <x v="1"/>
    <n v="1"/>
    <n v="80"/>
    <x v="0"/>
    <n v="6"/>
    <x v="1"/>
    <x v="2"/>
    <n v="6"/>
    <n v="5"/>
    <x v="1"/>
    <n v="3"/>
  </r>
  <r>
    <n v="35"/>
    <x v="1"/>
    <x v="0"/>
    <n v="528"/>
    <x v="2"/>
    <x v="1"/>
    <x v="2"/>
    <s v="Technical Degree"/>
    <n v="1"/>
    <n v="1164"/>
    <n v="3"/>
    <x v="1"/>
    <n v="100"/>
    <x v="0"/>
    <n v="1"/>
    <x v="8"/>
    <n v="3"/>
    <x v="0"/>
    <n v="4323"/>
    <n v="7108"/>
    <n v="1"/>
    <s v="Y"/>
    <x v="1"/>
    <n v="17"/>
    <x v="0"/>
    <n v="2"/>
    <n v="80"/>
    <x v="0"/>
    <n v="6"/>
    <x v="2"/>
    <x v="0"/>
    <n v="5"/>
    <n v="4"/>
    <x v="1"/>
    <n v="4"/>
  </r>
  <r>
    <n v="29"/>
    <x v="0"/>
    <x v="0"/>
    <n v="408"/>
    <x v="0"/>
    <x v="5"/>
    <x v="1"/>
    <s v="Life Sciences"/>
    <n v="1"/>
    <n v="1165"/>
    <n v="4"/>
    <x v="0"/>
    <n v="45"/>
    <x v="1"/>
    <n v="3"/>
    <x v="0"/>
    <n v="1"/>
    <x v="1"/>
    <n v="7336"/>
    <n v="11162"/>
    <n v="1"/>
    <s v="Y"/>
    <x v="1"/>
    <n v="13"/>
    <x v="0"/>
    <n v="1"/>
    <n v="80"/>
    <x v="1"/>
    <n v="11"/>
    <x v="1"/>
    <x v="0"/>
    <n v="11"/>
    <n v="8"/>
    <x v="2"/>
    <n v="10"/>
  </r>
  <r>
    <n v="40"/>
    <x v="1"/>
    <x v="1"/>
    <n v="593"/>
    <x v="1"/>
    <x v="14"/>
    <x v="2"/>
    <s v="Medical"/>
    <n v="1"/>
    <n v="1166"/>
    <n v="2"/>
    <x v="0"/>
    <n v="88"/>
    <x v="0"/>
    <n v="3"/>
    <x v="7"/>
    <n v="3"/>
    <x v="0"/>
    <n v="13499"/>
    <n v="13782"/>
    <n v="9"/>
    <s v="Y"/>
    <x v="1"/>
    <n v="17"/>
    <x v="0"/>
    <n v="3"/>
    <n v="80"/>
    <x v="0"/>
    <n v="20"/>
    <x v="1"/>
    <x v="2"/>
    <n v="18"/>
    <n v="7"/>
    <x v="3"/>
    <n v="13"/>
  </r>
  <r>
    <n v="42"/>
    <x v="0"/>
    <x v="1"/>
    <n v="481"/>
    <x v="0"/>
    <x v="20"/>
    <x v="3"/>
    <s v="Life Sciences"/>
    <n v="1"/>
    <n v="1167"/>
    <n v="3"/>
    <x v="1"/>
    <n v="44"/>
    <x v="0"/>
    <n v="4"/>
    <x v="0"/>
    <n v="1"/>
    <x v="0"/>
    <n v="13758"/>
    <n v="2447"/>
    <n v="0"/>
    <s v="Y"/>
    <x v="0"/>
    <n v="12"/>
    <x v="0"/>
    <n v="2"/>
    <n v="80"/>
    <x v="0"/>
    <n v="22"/>
    <x v="2"/>
    <x v="2"/>
    <n v="21"/>
    <n v="9"/>
    <x v="11"/>
    <n v="14"/>
  </r>
  <r>
    <n v="42"/>
    <x v="1"/>
    <x v="0"/>
    <n v="647"/>
    <x v="0"/>
    <x v="18"/>
    <x v="2"/>
    <s v="Marketing"/>
    <n v="1"/>
    <n v="1171"/>
    <n v="2"/>
    <x v="1"/>
    <n v="45"/>
    <x v="0"/>
    <n v="2"/>
    <x v="0"/>
    <n v="1"/>
    <x v="0"/>
    <n v="5155"/>
    <n v="2253"/>
    <n v="7"/>
    <s v="Y"/>
    <x v="1"/>
    <n v="13"/>
    <x v="0"/>
    <n v="4"/>
    <n v="80"/>
    <x v="0"/>
    <n v="9"/>
    <x v="1"/>
    <x v="3"/>
    <n v="6"/>
    <n v="4"/>
    <x v="1"/>
    <n v="5"/>
  </r>
  <r>
    <n v="35"/>
    <x v="1"/>
    <x v="0"/>
    <n v="982"/>
    <x v="1"/>
    <x v="0"/>
    <x v="2"/>
    <s v="Medical"/>
    <n v="1"/>
    <n v="1172"/>
    <n v="4"/>
    <x v="1"/>
    <n v="58"/>
    <x v="1"/>
    <n v="1"/>
    <x v="2"/>
    <n v="3"/>
    <x v="1"/>
    <n v="2258"/>
    <n v="16340"/>
    <n v="6"/>
    <s v="Y"/>
    <x v="1"/>
    <n v="12"/>
    <x v="0"/>
    <n v="2"/>
    <n v="80"/>
    <x v="1"/>
    <n v="10"/>
    <x v="2"/>
    <x v="1"/>
    <n v="8"/>
    <n v="0"/>
    <x v="1"/>
    <n v="7"/>
  </r>
  <r>
    <n v="24"/>
    <x v="1"/>
    <x v="0"/>
    <n v="477"/>
    <x v="1"/>
    <x v="4"/>
    <x v="3"/>
    <s v="Medical"/>
    <n v="1"/>
    <n v="1173"/>
    <n v="4"/>
    <x v="1"/>
    <n v="49"/>
    <x v="0"/>
    <n v="1"/>
    <x v="2"/>
    <n v="2"/>
    <x v="0"/>
    <n v="3597"/>
    <n v="6409"/>
    <n v="8"/>
    <s v="Y"/>
    <x v="1"/>
    <n v="22"/>
    <x v="1"/>
    <n v="4"/>
    <n v="80"/>
    <x v="0"/>
    <n v="6"/>
    <x v="2"/>
    <x v="1"/>
    <n v="4"/>
    <n v="3"/>
    <x v="1"/>
    <n v="2"/>
  </r>
  <r>
    <n v="28"/>
    <x v="0"/>
    <x v="0"/>
    <n v="1485"/>
    <x v="1"/>
    <x v="20"/>
    <x v="1"/>
    <s v="Life Sciences"/>
    <n v="1"/>
    <n v="1175"/>
    <n v="3"/>
    <x v="0"/>
    <n v="79"/>
    <x v="0"/>
    <n v="1"/>
    <x v="2"/>
    <n v="4"/>
    <x v="1"/>
    <n v="2515"/>
    <n v="22955"/>
    <n v="1"/>
    <s v="Y"/>
    <x v="0"/>
    <n v="11"/>
    <x v="0"/>
    <n v="4"/>
    <n v="80"/>
    <x v="0"/>
    <n v="1"/>
    <x v="5"/>
    <x v="2"/>
    <n v="1"/>
    <n v="1"/>
    <x v="0"/>
    <n v="0"/>
  </r>
  <r>
    <n v="26"/>
    <x v="1"/>
    <x v="0"/>
    <n v="1384"/>
    <x v="1"/>
    <x v="3"/>
    <x v="2"/>
    <s v="Medical"/>
    <n v="1"/>
    <n v="1177"/>
    <n v="1"/>
    <x v="1"/>
    <n v="82"/>
    <x v="2"/>
    <n v="1"/>
    <x v="2"/>
    <n v="4"/>
    <x v="1"/>
    <n v="4420"/>
    <n v="13421"/>
    <n v="1"/>
    <s v="Y"/>
    <x v="1"/>
    <n v="22"/>
    <x v="1"/>
    <n v="2"/>
    <n v="80"/>
    <x v="1"/>
    <n v="8"/>
    <x v="2"/>
    <x v="1"/>
    <n v="8"/>
    <n v="7"/>
    <x v="0"/>
    <n v="7"/>
  </r>
  <r>
    <n v="30"/>
    <x v="1"/>
    <x v="0"/>
    <n v="852"/>
    <x v="0"/>
    <x v="17"/>
    <x v="3"/>
    <s v="Marketing"/>
    <n v="1"/>
    <n v="1179"/>
    <n v="3"/>
    <x v="1"/>
    <n v="72"/>
    <x v="1"/>
    <n v="2"/>
    <x v="0"/>
    <n v="3"/>
    <x v="1"/>
    <n v="6578"/>
    <n v="2706"/>
    <n v="1"/>
    <s v="Y"/>
    <x v="1"/>
    <n v="18"/>
    <x v="0"/>
    <n v="1"/>
    <n v="80"/>
    <x v="1"/>
    <n v="10"/>
    <x v="1"/>
    <x v="1"/>
    <n v="10"/>
    <n v="3"/>
    <x v="1"/>
    <n v="4"/>
  </r>
  <r>
    <n v="40"/>
    <x v="1"/>
    <x v="1"/>
    <n v="902"/>
    <x v="1"/>
    <x v="9"/>
    <x v="0"/>
    <s v="Medical"/>
    <n v="1"/>
    <n v="1180"/>
    <n v="3"/>
    <x v="0"/>
    <n v="92"/>
    <x v="1"/>
    <n v="2"/>
    <x v="1"/>
    <n v="4"/>
    <x v="1"/>
    <n v="4422"/>
    <n v="21203"/>
    <n v="3"/>
    <s v="Y"/>
    <x v="0"/>
    <n v="13"/>
    <x v="0"/>
    <n v="4"/>
    <n v="80"/>
    <x v="1"/>
    <n v="16"/>
    <x v="1"/>
    <x v="0"/>
    <n v="1"/>
    <n v="1"/>
    <x v="0"/>
    <n v="0"/>
  </r>
  <r>
    <n v="35"/>
    <x v="1"/>
    <x v="0"/>
    <n v="819"/>
    <x v="1"/>
    <x v="2"/>
    <x v="3"/>
    <s v="Life Sciences"/>
    <n v="1"/>
    <n v="1182"/>
    <n v="3"/>
    <x v="1"/>
    <n v="44"/>
    <x v="1"/>
    <n v="3"/>
    <x v="3"/>
    <n v="2"/>
    <x v="2"/>
    <n v="10274"/>
    <n v="19588"/>
    <n v="2"/>
    <s v="Y"/>
    <x v="1"/>
    <n v="18"/>
    <x v="0"/>
    <n v="2"/>
    <n v="80"/>
    <x v="1"/>
    <n v="15"/>
    <x v="2"/>
    <x v="3"/>
    <n v="7"/>
    <n v="7"/>
    <x v="7"/>
    <n v="4"/>
  </r>
  <r>
    <n v="34"/>
    <x v="1"/>
    <x v="1"/>
    <n v="669"/>
    <x v="1"/>
    <x v="0"/>
    <x v="3"/>
    <s v="Medical"/>
    <n v="1"/>
    <n v="1184"/>
    <n v="4"/>
    <x v="1"/>
    <n v="97"/>
    <x v="1"/>
    <n v="2"/>
    <x v="4"/>
    <n v="1"/>
    <x v="0"/>
    <n v="5343"/>
    <n v="25755"/>
    <n v="0"/>
    <s v="Y"/>
    <x v="1"/>
    <n v="20"/>
    <x v="1"/>
    <n v="3"/>
    <n v="80"/>
    <x v="0"/>
    <n v="14"/>
    <x v="1"/>
    <x v="1"/>
    <n v="13"/>
    <n v="9"/>
    <x v="5"/>
    <n v="9"/>
  </r>
  <r>
    <n v="35"/>
    <x v="1"/>
    <x v="1"/>
    <n v="636"/>
    <x v="1"/>
    <x v="18"/>
    <x v="2"/>
    <s v="Other"/>
    <n v="1"/>
    <n v="1185"/>
    <n v="4"/>
    <x v="1"/>
    <n v="47"/>
    <x v="1"/>
    <n v="1"/>
    <x v="2"/>
    <n v="4"/>
    <x v="1"/>
    <n v="2376"/>
    <n v="26537"/>
    <n v="1"/>
    <s v="Y"/>
    <x v="1"/>
    <n v="13"/>
    <x v="0"/>
    <n v="2"/>
    <n v="80"/>
    <x v="1"/>
    <n v="2"/>
    <x v="2"/>
    <x v="3"/>
    <n v="2"/>
    <n v="2"/>
    <x v="3"/>
    <n v="2"/>
  </r>
  <r>
    <n v="43"/>
    <x v="0"/>
    <x v="0"/>
    <n v="1372"/>
    <x v="0"/>
    <x v="14"/>
    <x v="3"/>
    <s v="Marketing"/>
    <n v="1"/>
    <n v="1188"/>
    <n v="1"/>
    <x v="0"/>
    <n v="85"/>
    <x v="3"/>
    <n v="2"/>
    <x v="0"/>
    <n v="3"/>
    <x v="0"/>
    <n v="5346"/>
    <n v="9489"/>
    <n v="8"/>
    <s v="Y"/>
    <x v="1"/>
    <n v="13"/>
    <x v="0"/>
    <n v="2"/>
    <n v="80"/>
    <x v="0"/>
    <n v="7"/>
    <x v="2"/>
    <x v="2"/>
    <n v="4"/>
    <n v="3"/>
    <x v="1"/>
    <n v="3"/>
  </r>
  <r>
    <n v="32"/>
    <x v="1"/>
    <x v="2"/>
    <n v="862"/>
    <x v="0"/>
    <x v="2"/>
    <x v="1"/>
    <s v="Life Sciences"/>
    <n v="1"/>
    <n v="1190"/>
    <n v="3"/>
    <x v="0"/>
    <n v="76"/>
    <x v="0"/>
    <n v="1"/>
    <x v="6"/>
    <n v="1"/>
    <x v="2"/>
    <n v="2827"/>
    <n v="14947"/>
    <n v="1"/>
    <s v="Y"/>
    <x v="1"/>
    <n v="12"/>
    <x v="0"/>
    <n v="3"/>
    <n v="80"/>
    <x v="2"/>
    <n v="1"/>
    <x v="1"/>
    <x v="1"/>
    <n v="1"/>
    <n v="0"/>
    <x v="0"/>
    <n v="0"/>
  </r>
  <r>
    <n v="56"/>
    <x v="1"/>
    <x v="0"/>
    <n v="718"/>
    <x v="1"/>
    <x v="18"/>
    <x v="2"/>
    <s v="Technical Degree"/>
    <n v="1"/>
    <n v="1191"/>
    <n v="4"/>
    <x v="0"/>
    <n v="92"/>
    <x v="0"/>
    <n v="5"/>
    <x v="5"/>
    <n v="1"/>
    <x v="2"/>
    <n v="19943"/>
    <n v="18575"/>
    <n v="4"/>
    <s v="Y"/>
    <x v="1"/>
    <n v="13"/>
    <x v="0"/>
    <n v="4"/>
    <n v="80"/>
    <x v="1"/>
    <n v="28"/>
    <x v="2"/>
    <x v="1"/>
    <n v="5"/>
    <n v="2"/>
    <x v="5"/>
    <n v="2"/>
  </r>
  <r>
    <n v="29"/>
    <x v="1"/>
    <x v="0"/>
    <n v="1401"/>
    <x v="1"/>
    <x v="16"/>
    <x v="1"/>
    <s v="Medical"/>
    <n v="1"/>
    <n v="1192"/>
    <n v="2"/>
    <x v="0"/>
    <n v="54"/>
    <x v="0"/>
    <n v="1"/>
    <x v="2"/>
    <n v="4"/>
    <x v="1"/>
    <n v="3131"/>
    <n v="26342"/>
    <n v="1"/>
    <s v="Y"/>
    <x v="1"/>
    <n v="13"/>
    <x v="0"/>
    <n v="1"/>
    <n v="80"/>
    <x v="1"/>
    <n v="10"/>
    <x v="3"/>
    <x v="1"/>
    <n v="10"/>
    <n v="8"/>
    <x v="0"/>
    <n v="8"/>
  </r>
  <r>
    <n v="19"/>
    <x v="1"/>
    <x v="0"/>
    <n v="645"/>
    <x v="1"/>
    <x v="14"/>
    <x v="0"/>
    <s v="Life Sciences"/>
    <n v="1"/>
    <n v="1193"/>
    <n v="3"/>
    <x v="1"/>
    <n v="54"/>
    <x v="0"/>
    <n v="1"/>
    <x v="1"/>
    <n v="1"/>
    <x v="0"/>
    <n v="2552"/>
    <n v="7172"/>
    <n v="1"/>
    <s v="Y"/>
    <x v="1"/>
    <n v="25"/>
    <x v="1"/>
    <n v="3"/>
    <n v="80"/>
    <x v="0"/>
    <n v="1"/>
    <x v="5"/>
    <x v="1"/>
    <n v="1"/>
    <n v="1"/>
    <x v="0"/>
    <n v="0"/>
  </r>
  <r>
    <n v="45"/>
    <x v="1"/>
    <x v="0"/>
    <n v="1457"/>
    <x v="1"/>
    <x v="15"/>
    <x v="3"/>
    <s v="Medical"/>
    <n v="1"/>
    <n v="1195"/>
    <n v="1"/>
    <x v="0"/>
    <n v="83"/>
    <x v="0"/>
    <n v="1"/>
    <x v="1"/>
    <n v="3"/>
    <x v="1"/>
    <n v="4477"/>
    <n v="20100"/>
    <n v="4"/>
    <s v="Y"/>
    <x v="0"/>
    <n v="19"/>
    <x v="0"/>
    <n v="3"/>
    <n v="80"/>
    <x v="1"/>
    <n v="7"/>
    <x v="2"/>
    <x v="2"/>
    <n v="3"/>
    <n v="2"/>
    <x v="0"/>
    <n v="2"/>
  </r>
  <r>
    <n v="37"/>
    <x v="1"/>
    <x v="0"/>
    <n v="977"/>
    <x v="1"/>
    <x v="0"/>
    <x v="3"/>
    <s v="Life Sciences"/>
    <n v="1"/>
    <n v="1196"/>
    <n v="4"/>
    <x v="0"/>
    <n v="56"/>
    <x v="1"/>
    <n v="2"/>
    <x v="3"/>
    <n v="4"/>
    <x v="1"/>
    <n v="6474"/>
    <n v="9961"/>
    <n v="1"/>
    <s v="Y"/>
    <x v="1"/>
    <n v="13"/>
    <x v="0"/>
    <n v="2"/>
    <n v="80"/>
    <x v="1"/>
    <n v="14"/>
    <x v="2"/>
    <x v="2"/>
    <n v="14"/>
    <n v="8"/>
    <x v="2"/>
    <n v="11"/>
  </r>
  <r>
    <n v="20"/>
    <x v="1"/>
    <x v="0"/>
    <n v="805"/>
    <x v="1"/>
    <x v="3"/>
    <x v="3"/>
    <s v="Life Sciences"/>
    <n v="1"/>
    <n v="1198"/>
    <n v="1"/>
    <x v="1"/>
    <n v="87"/>
    <x v="1"/>
    <n v="1"/>
    <x v="2"/>
    <n v="3"/>
    <x v="0"/>
    <n v="3033"/>
    <n v="12828"/>
    <n v="1"/>
    <s v="Y"/>
    <x v="1"/>
    <n v="12"/>
    <x v="0"/>
    <n v="1"/>
    <n v="80"/>
    <x v="0"/>
    <n v="2"/>
    <x v="2"/>
    <x v="2"/>
    <n v="2"/>
    <n v="2"/>
    <x v="1"/>
    <n v="2"/>
  </r>
  <r>
    <n v="44"/>
    <x v="0"/>
    <x v="0"/>
    <n v="1097"/>
    <x v="1"/>
    <x v="17"/>
    <x v="2"/>
    <s v="Life Sciences"/>
    <n v="1"/>
    <n v="1200"/>
    <n v="3"/>
    <x v="1"/>
    <n v="96"/>
    <x v="0"/>
    <n v="1"/>
    <x v="1"/>
    <n v="3"/>
    <x v="0"/>
    <n v="2936"/>
    <n v="10826"/>
    <n v="1"/>
    <s v="Y"/>
    <x v="0"/>
    <n v="11"/>
    <x v="0"/>
    <n v="3"/>
    <n v="80"/>
    <x v="0"/>
    <n v="6"/>
    <x v="5"/>
    <x v="1"/>
    <n v="6"/>
    <n v="4"/>
    <x v="0"/>
    <n v="2"/>
  </r>
  <r>
    <n v="53"/>
    <x v="1"/>
    <x v="0"/>
    <n v="1223"/>
    <x v="1"/>
    <x v="15"/>
    <x v="0"/>
    <s v="Medical"/>
    <n v="1"/>
    <n v="1201"/>
    <n v="4"/>
    <x v="0"/>
    <n v="50"/>
    <x v="0"/>
    <n v="5"/>
    <x v="5"/>
    <n v="3"/>
    <x v="2"/>
    <n v="18606"/>
    <n v="18640"/>
    <n v="3"/>
    <s v="Y"/>
    <x v="1"/>
    <n v="18"/>
    <x v="0"/>
    <n v="2"/>
    <n v="80"/>
    <x v="1"/>
    <n v="26"/>
    <x v="6"/>
    <x v="1"/>
    <n v="7"/>
    <n v="7"/>
    <x v="5"/>
    <n v="7"/>
  </r>
  <r>
    <n v="29"/>
    <x v="1"/>
    <x v="0"/>
    <n v="942"/>
    <x v="1"/>
    <x v="8"/>
    <x v="1"/>
    <s v="Life Sciences"/>
    <n v="1"/>
    <n v="1202"/>
    <n v="2"/>
    <x v="0"/>
    <n v="69"/>
    <x v="3"/>
    <n v="1"/>
    <x v="1"/>
    <n v="4"/>
    <x v="1"/>
    <n v="2168"/>
    <n v="26933"/>
    <n v="0"/>
    <s v="Y"/>
    <x v="0"/>
    <n v="18"/>
    <x v="0"/>
    <n v="1"/>
    <n v="80"/>
    <x v="1"/>
    <n v="6"/>
    <x v="2"/>
    <x v="2"/>
    <n v="5"/>
    <n v="4"/>
    <x v="1"/>
    <n v="3"/>
  </r>
  <r>
    <n v="22"/>
    <x v="0"/>
    <x v="1"/>
    <n v="1256"/>
    <x v="1"/>
    <x v="3"/>
    <x v="2"/>
    <s v="Life Sciences"/>
    <n v="1"/>
    <n v="1203"/>
    <n v="3"/>
    <x v="1"/>
    <n v="48"/>
    <x v="1"/>
    <n v="1"/>
    <x v="1"/>
    <n v="4"/>
    <x v="1"/>
    <n v="2853"/>
    <n v="4223"/>
    <n v="0"/>
    <s v="Y"/>
    <x v="0"/>
    <n v="11"/>
    <x v="0"/>
    <n v="2"/>
    <n v="80"/>
    <x v="1"/>
    <n v="1"/>
    <x v="3"/>
    <x v="1"/>
    <n v="0"/>
    <n v="0"/>
    <x v="0"/>
    <n v="0"/>
  </r>
  <r>
    <n v="46"/>
    <x v="1"/>
    <x v="0"/>
    <n v="1402"/>
    <x v="0"/>
    <x v="2"/>
    <x v="3"/>
    <s v="Marketing"/>
    <n v="1"/>
    <n v="1204"/>
    <n v="3"/>
    <x v="0"/>
    <n v="69"/>
    <x v="0"/>
    <n v="4"/>
    <x v="5"/>
    <n v="1"/>
    <x v="1"/>
    <n v="17048"/>
    <n v="24097"/>
    <n v="8"/>
    <s v="Y"/>
    <x v="1"/>
    <n v="23"/>
    <x v="1"/>
    <n v="1"/>
    <n v="80"/>
    <x v="0"/>
    <n v="28"/>
    <x v="2"/>
    <x v="1"/>
    <n v="26"/>
    <n v="15"/>
    <x v="9"/>
    <n v="9"/>
  </r>
  <r>
    <n v="44"/>
    <x v="1"/>
    <x v="2"/>
    <n v="111"/>
    <x v="1"/>
    <x v="27"/>
    <x v="3"/>
    <s v="Life Sciences"/>
    <n v="1"/>
    <n v="1206"/>
    <n v="4"/>
    <x v="1"/>
    <n v="74"/>
    <x v="3"/>
    <n v="1"/>
    <x v="1"/>
    <n v="3"/>
    <x v="0"/>
    <n v="2290"/>
    <n v="4279"/>
    <n v="2"/>
    <s v="Y"/>
    <x v="1"/>
    <n v="13"/>
    <x v="0"/>
    <n v="4"/>
    <n v="80"/>
    <x v="0"/>
    <n v="6"/>
    <x v="1"/>
    <x v="1"/>
    <n v="0"/>
    <n v="0"/>
    <x v="0"/>
    <n v="0"/>
  </r>
  <r>
    <n v="33"/>
    <x v="1"/>
    <x v="0"/>
    <n v="147"/>
    <x v="2"/>
    <x v="2"/>
    <x v="3"/>
    <s v="Human Resources"/>
    <n v="1"/>
    <n v="1207"/>
    <n v="2"/>
    <x v="1"/>
    <n v="99"/>
    <x v="0"/>
    <n v="1"/>
    <x v="8"/>
    <n v="3"/>
    <x v="1"/>
    <n v="3600"/>
    <n v="8429"/>
    <n v="1"/>
    <s v="Y"/>
    <x v="1"/>
    <n v="13"/>
    <x v="0"/>
    <n v="4"/>
    <n v="80"/>
    <x v="1"/>
    <n v="5"/>
    <x v="2"/>
    <x v="1"/>
    <n v="5"/>
    <n v="4"/>
    <x v="1"/>
    <n v="4"/>
  </r>
  <r>
    <n v="41"/>
    <x v="0"/>
    <x v="2"/>
    <n v="906"/>
    <x v="1"/>
    <x v="12"/>
    <x v="0"/>
    <s v="Life Sciences"/>
    <n v="1"/>
    <n v="1210"/>
    <n v="1"/>
    <x v="1"/>
    <n v="95"/>
    <x v="1"/>
    <n v="1"/>
    <x v="1"/>
    <n v="1"/>
    <x v="2"/>
    <n v="2107"/>
    <n v="20293"/>
    <n v="6"/>
    <s v="Y"/>
    <x v="1"/>
    <n v="17"/>
    <x v="0"/>
    <n v="1"/>
    <n v="80"/>
    <x v="1"/>
    <n v="5"/>
    <x v="2"/>
    <x v="0"/>
    <n v="1"/>
    <n v="0"/>
    <x v="0"/>
    <n v="0"/>
  </r>
  <r>
    <n v="30"/>
    <x v="1"/>
    <x v="0"/>
    <n v="1329"/>
    <x v="0"/>
    <x v="22"/>
    <x v="2"/>
    <s v="Life Sciences"/>
    <n v="1"/>
    <n v="1211"/>
    <n v="3"/>
    <x v="1"/>
    <n v="61"/>
    <x v="0"/>
    <n v="2"/>
    <x v="0"/>
    <n v="1"/>
    <x v="2"/>
    <n v="4115"/>
    <n v="13192"/>
    <n v="8"/>
    <s v="Y"/>
    <x v="1"/>
    <n v="19"/>
    <x v="0"/>
    <n v="3"/>
    <n v="80"/>
    <x v="2"/>
    <n v="8"/>
    <x v="1"/>
    <x v="1"/>
    <n v="4"/>
    <n v="3"/>
    <x v="0"/>
    <n v="3"/>
  </r>
  <r>
    <n v="40"/>
    <x v="1"/>
    <x v="1"/>
    <n v="1184"/>
    <x v="0"/>
    <x v="2"/>
    <x v="2"/>
    <s v="Medical"/>
    <n v="1"/>
    <n v="1212"/>
    <n v="2"/>
    <x v="1"/>
    <n v="62"/>
    <x v="0"/>
    <n v="2"/>
    <x v="0"/>
    <n v="2"/>
    <x v="1"/>
    <n v="4327"/>
    <n v="25440"/>
    <n v="5"/>
    <s v="Y"/>
    <x v="1"/>
    <n v="12"/>
    <x v="0"/>
    <n v="4"/>
    <n v="80"/>
    <x v="2"/>
    <n v="5"/>
    <x v="2"/>
    <x v="1"/>
    <n v="0"/>
    <n v="0"/>
    <x v="0"/>
    <n v="0"/>
  </r>
  <r>
    <n v="50"/>
    <x v="1"/>
    <x v="1"/>
    <n v="1421"/>
    <x v="1"/>
    <x v="2"/>
    <x v="3"/>
    <s v="Medical"/>
    <n v="1"/>
    <n v="1215"/>
    <n v="4"/>
    <x v="0"/>
    <n v="30"/>
    <x v="0"/>
    <n v="4"/>
    <x v="5"/>
    <n v="1"/>
    <x v="1"/>
    <n v="17856"/>
    <n v="9490"/>
    <n v="2"/>
    <s v="Y"/>
    <x v="1"/>
    <n v="22"/>
    <x v="1"/>
    <n v="3"/>
    <n v="80"/>
    <x v="1"/>
    <n v="32"/>
    <x v="1"/>
    <x v="1"/>
    <n v="2"/>
    <n v="2"/>
    <x v="3"/>
    <n v="2"/>
  </r>
  <r>
    <n v="28"/>
    <x v="1"/>
    <x v="0"/>
    <n v="1179"/>
    <x v="1"/>
    <x v="10"/>
    <x v="2"/>
    <s v="Medical"/>
    <n v="1"/>
    <n v="1216"/>
    <n v="4"/>
    <x v="1"/>
    <n v="78"/>
    <x v="1"/>
    <n v="1"/>
    <x v="2"/>
    <n v="1"/>
    <x v="1"/>
    <n v="3196"/>
    <n v="12449"/>
    <n v="1"/>
    <s v="Y"/>
    <x v="1"/>
    <n v="12"/>
    <x v="0"/>
    <n v="3"/>
    <n v="80"/>
    <x v="2"/>
    <n v="6"/>
    <x v="2"/>
    <x v="1"/>
    <n v="6"/>
    <n v="5"/>
    <x v="2"/>
    <n v="3"/>
  </r>
  <r>
    <n v="46"/>
    <x v="1"/>
    <x v="0"/>
    <n v="1450"/>
    <x v="1"/>
    <x v="8"/>
    <x v="0"/>
    <s v="Life Sciences"/>
    <n v="1"/>
    <n v="1217"/>
    <n v="4"/>
    <x v="1"/>
    <n v="52"/>
    <x v="0"/>
    <n v="5"/>
    <x v="7"/>
    <n v="2"/>
    <x v="1"/>
    <n v="19081"/>
    <n v="10849"/>
    <n v="5"/>
    <s v="Y"/>
    <x v="1"/>
    <n v="11"/>
    <x v="0"/>
    <n v="1"/>
    <n v="80"/>
    <x v="1"/>
    <n v="25"/>
    <x v="2"/>
    <x v="1"/>
    <n v="4"/>
    <n v="2"/>
    <x v="0"/>
    <n v="3"/>
  </r>
  <r>
    <n v="35"/>
    <x v="1"/>
    <x v="0"/>
    <n v="1361"/>
    <x v="0"/>
    <x v="27"/>
    <x v="2"/>
    <s v="Life Sciences"/>
    <n v="1"/>
    <n v="1218"/>
    <n v="3"/>
    <x v="1"/>
    <n v="94"/>
    <x v="0"/>
    <n v="2"/>
    <x v="0"/>
    <n v="1"/>
    <x v="1"/>
    <n v="8966"/>
    <n v="21026"/>
    <n v="3"/>
    <s v="Y"/>
    <x v="0"/>
    <n v="15"/>
    <x v="0"/>
    <n v="4"/>
    <n v="80"/>
    <x v="2"/>
    <n v="15"/>
    <x v="2"/>
    <x v="1"/>
    <n v="7"/>
    <n v="7"/>
    <x v="1"/>
    <n v="7"/>
  </r>
  <r>
    <n v="24"/>
    <x v="0"/>
    <x v="0"/>
    <n v="984"/>
    <x v="1"/>
    <x v="27"/>
    <x v="0"/>
    <s v="Life Sciences"/>
    <n v="1"/>
    <n v="1219"/>
    <n v="4"/>
    <x v="0"/>
    <n v="97"/>
    <x v="0"/>
    <n v="1"/>
    <x v="2"/>
    <n v="2"/>
    <x v="1"/>
    <n v="2210"/>
    <n v="3372"/>
    <n v="1"/>
    <s v="Y"/>
    <x v="1"/>
    <n v="13"/>
    <x v="0"/>
    <n v="1"/>
    <n v="80"/>
    <x v="1"/>
    <n v="1"/>
    <x v="1"/>
    <x v="0"/>
    <n v="1"/>
    <n v="0"/>
    <x v="0"/>
    <n v="0"/>
  </r>
  <r>
    <n v="33"/>
    <x v="1"/>
    <x v="1"/>
    <n v="1146"/>
    <x v="0"/>
    <x v="19"/>
    <x v="3"/>
    <s v="Medical"/>
    <n v="1"/>
    <n v="1220"/>
    <n v="2"/>
    <x v="0"/>
    <n v="82"/>
    <x v="0"/>
    <n v="2"/>
    <x v="0"/>
    <n v="3"/>
    <x v="1"/>
    <n v="4539"/>
    <n v="4905"/>
    <n v="1"/>
    <s v="Y"/>
    <x v="1"/>
    <n v="12"/>
    <x v="0"/>
    <n v="1"/>
    <n v="80"/>
    <x v="1"/>
    <n v="10"/>
    <x v="1"/>
    <x v="2"/>
    <n v="10"/>
    <n v="7"/>
    <x v="0"/>
    <n v="1"/>
  </r>
  <r>
    <n v="36"/>
    <x v="1"/>
    <x v="0"/>
    <n v="917"/>
    <x v="1"/>
    <x v="16"/>
    <x v="2"/>
    <s v="Life Sciences"/>
    <n v="1"/>
    <n v="1221"/>
    <n v="3"/>
    <x v="1"/>
    <n v="60"/>
    <x v="3"/>
    <n v="1"/>
    <x v="2"/>
    <n v="3"/>
    <x v="2"/>
    <n v="2741"/>
    <n v="6865"/>
    <n v="1"/>
    <s v="Y"/>
    <x v="1"/>
    <n v="14"/>
    <x v="0"/>
    <n v="3"/>
    <n v="80"/>
    <x v="1"/>
    <n v="7"/>
    <x v="5"/>
    <x v="1"/>
    <n v="7"/>
    <n v="7"/>
    <x v="1"/>
    <n v="7"/>
  </r>
  <r>
    <n v="30"/>
    <x v="1"/>
    <x v="0"/>
    <n v="853"/>
    <x v="1"/>
    <x v="15"/>
    <x v="2"/>
    <s v="Life Sciences"/>
    <n v="1"/>
    <n v="1224"/>
    <n v="3"/>
    <x v="1"/>
    <n v="49"/>
    <x v="0"/>
    <n v="2"/>
    <x v="2"/>
    <n v="3"/>
    <x v="2"/>
    <n v="3491"/>
    <n v="11309"/>
    <n v="1"/>
    <s v="Y"/>
    <x v="1"/>
    <n v="13"/>
    <x v="0"/>
    <n v="1"/>
    <n v="80"/>
    <x v="2"/>
    <n v="10"/>
    <x v="5"/>
    <x v="2"/>
    <n v="10"/>
    <n v="7"/>
    <x v="6"/>
    <n v="9"/>
  </r>
  <r>
    <n v="44"/>
    <x v="1"/>
    <x v="0"/>
    <n v="200"/>
    <x v="1"/>
    <x v="22"/>
    <x v="2"/>
    <s v="Other"/>
    <n v="1"/>
    <n v="1225"/>
    <n v="4"/>
    <x v="1"/>
    <n v="32"/>
    <x v="0"/>
    <n v="2"/>
    <x v="1"/>
    <n v="4"/>
    <x v="0"/>
    <n v="4541"/>
    <n v="7744"/>
    <n v="1"/>
    <s v="Y"/>
    <x v="1"/>
    <n v="25"/>
    <x v="1"/>
    <n v="2"/>
    <n v="80"/>
    <x v="0"/>
    <n v="20"/>
    <x v="1"/>
    <x v="1"/>
    <n v="20"/>
    <n v="11"/>
    <x v="11"/>
    <n v="17"/>
  </r>
  <r>
    <n v="20"/>
    <x v="1"/>
    <x v="0"/>
    <n v="654"/>
    <x v="0"/>
    <x v="11"/>
    <x v="3"/>
    <s v="Marketing"/>
    <n v="1"/>
    <n v="1226"/>
    <n v="3"/>
    <x v="1"/>
    <n v="43"/>
    <x v="2"/>
    <n v="1"/>
    <x v="6"/>
    <n v="4"/>
    <x v="0"/>
    <n v="2678"/>
    <n v="5050"/>
    <n v="1"/>
    <s v="Y"/>
    <x v="1"/>
    <n v="17"/>
    <x v="0"/>
    <n v="4"/>
    <n v="80"/>
    <x v="0"/>
    <n v="2"/>
    <x v="2"/>
    <x v="1"/>
    <n v="2"/>
    <n v="1"/>
    <x v="3"/>
    <n v="2"/>
  </r>
  <r>
    <n v="46"/>
    <x v="1"/>
    <x v="0"/>
    <n v="150"/>
    <x v="1"/>
    <x v="2"/>
    <x v="2"/>
    <s v="Technical Degree"/>
    <n v="1"/>
    <n v="1228"/>
    <n v="4"/>
    <x v="1"/>
    <n v="60"/>
    <x v="0"/>
    <n v="2"/>
    <x v="3"/>
    <n v="4"/>
    <x v="2"/>
    <n v="7379"/>
    <n v="17433"/>
    <n v="2"/>
    <s v="Y"/>
    <x v="1"/>
    <n v="11"/>
    <x v="0"/>
    <n v="3"/>
    <n v="80"/>
    <x v="1"/>
    <n v="12"/>
    <x v="1"/>
    <x v="2"/>
    <n v="6"/>
    <n v="3"/>
    <x v="1"/>
    <n v="4"/>
  </r>
  <r>
    <n v="42"/>
    <x v="1"/>
    <x v="2"/>
    <n v="179"/>
    <x v="2"/>
    <x v="2"/>
    <x v="4"/>
    <s v="Medical"/>
    <n v="1"/>
    <n v="1231"/>
    <n v="4"/>
    <x v="1"/>
    <n v="79"/>
    <x v="2"/>
    <n v="2"/>
    <x v="8"/>
    <n v="1"/>
    <x v="1"/>
    <n v="6272"/>
    <n v="12858"/>
    <n v="7"/>
    <s v="Y"/>
    <x v="1"/>
    <n v="16"/>
    <x v="0"/>
    <n v="1"/>
    <n v="80"/>
    <x v="1"/>
    <n v="10"/>
    <x v="1"/>
    <x v="3"/>
    <n v="4"/>
    <n v="3"/>
    <x v="0"/>
    <n v="3"/>
  </r>
  <r>
    <n v="60"/>
    <x v="1"/>
    <x v="0"/>
    <n v="696"/>
    <x v="0"/>
    <x v="15"/>
    <x v="2"/>
    <s v="Marketing"/>
    <n v="1"/>
    <n v="1233"/>
    <n v="2"/>
    <x v="1"/>
    <n v="52"/>
    <x v="2"/>
    <n v="2"/>
    <x v="0"/>
    <n v="4"/>
    <x v="2"/>
    <n v="5220"/>
    <n v="10893"/>
    <n v="0"/>
    <s v="Y"/>
    <x v="0"/>
    <n v="18"/>
    <x v="0"/>
    <n v="2"/>
    <n v="80"/>
    <x v="1"/>
    <n v="12"/>
    <x v="1"/>
    <x v="1"/>
    <n v="11"/>
    <n v="7"/>
    <x v="1"/>
    <n v="9"/>
  </r>
  <r>
    <n v="32"/>
    <x v="1"/>
    <x v="1"/>
    <n v="116"/>
    <x v="1"/>
    <x v="28"/>
    <x v="3"/>
    <s v="Other"/>
    <n v="1"/>
    <n v="1234"/>
    <n v="3"/>
    <x v="0"/>
    <n v="77"/>
    <x v="1"/>
    <n v="1"/>
    <x v="2"/>
    <n v="2"/>
    <x v="1"/>
    <n v="2743"/>
    <n v="7331"/>
    <n v="1"/>
    <s v="Y"/>
    <x v="1"/>
    <n v="20"/>
    <x v="1"/>
    <n v="3"/>
    <n v="80"/>
    <x v="1"/>
    <n v="2"/>
    <x v="2"/>
    <x v="1"/>
    <n v="2"/>
    <n v="2"/>
    <x v="3"/>
    <n v="2"/>
  </r>
  <r>
    <n v="32"/>
    <x v="1"/>
    <x v="1"/>
    <n v="1316"/>
    <x v="1"/>
    <x v="2"/>
    <x v="0"/>
    <s v="Life Sciences"/>
    <n v="1"/>
    <n v="1235"/>
    <n v="4"/>
    <x v="0"/>
    <n v="38"/>
    <x v="0"/>
    <n v="2"/>
    <x v="1"/>
    <n v="3"/>
    <x v="0"/>
    <n v="4998"/>
    <n v="2338"/>
    <n v="4"/>
    <s v="Y"/>
    <x v="0"/>
    <n v="14"/>
    <x v="0"/>
    <n v="4"/>
    <n v="80"/>
    <x v="0"/>
    <n v="10"/>
    <x v="2"/>
    <x v="1"/>
    <n v="8"/>
    <n v="7"/>
    <x v="0"/>
    <n v="7"/>
  </r>
  <r>
    <n v="36"/>
    <x v="1"/>
    <x v="0"/>
    <n v="363"/>
    <x v="1"/>
    <x v="0"/>
    <x v="3"/>
    <s v="Technical Degree"/>
    <n v="1"/>
    <n v="1237"/>
    <n v="3"/>
    <x v="0"/>
    <n v="77"/>
    <x v="3"/>
    <n v="3"/>
    <x v="3"/>
    <n v="1"/>
    <x v="2"/>
    <n v="10252"/>
    <n v="4235"/>
    <n v="2"/>
    <s v="Y"/>
    <x v="0"/>
    <n v="21"/>
    <x v="1"/>
    <n v="3"/>
    <n v="80"/>
    <x v="1"/>
    <n v="17"/>
    <x v="2"/>
    <x v="1"/>
    <n v="7"/>
    <n v="7"/>
    <x v="4"/>
    <n v="7"/>
  </r>
  <r>
    <n v="33"/>
    <x v="1"/>
    <x v="0"/>
    <n v="117"/>
    <x v="1"/>
    <x v="14"/>
    <x v="3"/>
    <s v="Medical"/>
    <n v="1"/>
    <n v="1238"/>
    <n v="1"/>
    <x v="1"/>
    <n v="60"/>
    <x v="0"/>
    <n v="1"/>
    <x v="1"/>
    <n v="4"/>
    <x v="1"/>
    <n v="2781"/>
    <n v="6311"/>
    <n v="0"/>
    <s v="Y"/>
    <x v="1"/>
    <n v="13"/>
    <x v="0"/>
    <n v="2"/>
    <n v="80"/>
    <x v="1"/>
    <n v="15"/>
    <x v="3"/>
    <x v="1"/>
    <n v="14"/>
    <n v="10"/>
    <x v="5"/>
    <n v="10"/>
  </r>
  <r>
    <n v="40"/>
    <x v="1"/>
    <x v="0"/>
    <n v="107"/>
    <x v="0"/>
    <x v="17"/>
    <x v="3"/>
    <s v="Technical Degree"/>
    <n v="1"/>
    <n v="1239"/>
    <n v="2"/>
    <x v="0"/>
    <n v="84"/>
    <x v="1"/>
    <n v="2"/>
    <x v="0"/>
    <n v="2"/>
    <x v="2"/>
    <n v="6852"/>
    <n v="11591"/>
    <n v="7"/>
    <s v="Y"/>
    <x v="1"/>
    <n v="12"/>
    <x v="0"/>
    <n v="2"/>
    <n v="80"/>
    <x v="1"/>
    <n v="7"/>
    <x v="2"/>
    <x v="3"/>
    <n v="5"/>
    <n v="1"/>
    <x v="1"/>
    <n v="3"/>
  </r>
  <r>
    <n v="25"/>
    <x v="1"/>
    <x v="0"/>
    <n v="1356"/>
    <x v="0"/>
    <x v="17"/>
    <x v="2"/>
    <s v="Life Sciences"/>
    <n v="1"/>
    <n v="1240"/>
    <n v="3"/>
    <x v="1"/>
    <n v="57"/>
    <x v="0"/>
    <n v="2"/>
    <x v="0"/>
    <n v="4"/>
    <x v="0"/>
    <n v="4950"/>
    <n v="20623"/>
    <n v="0"/>
    <s v="Y"/>
    <x v="1"/>
    <n v="14"/>
    <x v="0"/>
    <n v="2"/>
    <n v="80"/>
    <x v="0"/>
    <n v="5"/>
    <x v="5"/>
    <x v="1"/>
    <n v="4"/>
    <n v="3"/>
    <x v="1"/>
    <n v="1"/>
  </r>
  <r>
    <n v="30"/>
    <x v="1"/>
    <x v="0"/>
    <n v="1465"/>
    <x v="1"/>
    <x v="0"/>
    <x v="3"/>
    <s v="Medical"/>
    <n v="1"/>
    <n v="1241"/>
    <n v="4"/>
    <x v="1"/>
    <n v="63"/>
    <x v="0"/>
    <n v="1"/>
    <x v="1"/>
    <n v="2"/>
    <x v="1"/>
    <n v="3579"/>
    <n v="9369"/>
    <n v="0"/>
    <s v="Y"/>
    <x v="0"/>
    <n v="21"/>
    <x v="1"/>
    <n v="1"/>
    <n v="80"/>
    <x v="1"/>
    <n v="12"/>
    <x v="2"/>
    <x v="1"/>
    <n v="11"/>
    <n v="9"/>
    <x v="8"/>
    <n v="7"/>
  </r>
  <r>
    <n v="42"/>
    <x v="1"/>
    <x v="1"/>
    <n v="458"/>
    <x v="1"/>
    <x v="9"/>
    <x v="4"/>
    <s v="Medical"/>
    <n v="1"/>
    <n v="1242"/>
    <n v="1"/>
    <x v="0"/>
    <n v="60"/>
    <x v="0"/>
    <n v="3"/>
    <x v="7"/>
    <n v="1"/>
    <x v="1"/>
    <n v="13191"/>
    <n v="23281"/>
    <n v="3"/>
    <s v="Y"/>
    <x v="0"/>
    <n v="17"/>
    <x v="0"/>
    <n v="3"/>
    <n v="80"/>
    <x v="0"/>
    <n v="20"/>
    <x v="6"/>
    <x v="1"/>
    <n v="1"/>
    <n v="0"/>
    <x v="0"/>
    <n v="0"/>
  </r>
  <r>
    <n v="35"/>
    <x v="1"/>
    <x v="2"/>
    <n v="1212"/>
    <x v="0"/>
    <x v="1"/>
    <x v="0"/>
    <s v="Marketing"/>
    <n v="1"/>
    <n v="1243"/>
    <n v="3"/>
    <x v="0"/>
    <n v="78"/>
    <x v="1"/>
    <n v="3"/>
    <x v="0"/>
    <n v="4"/>
    <x v="1"/>
    <n v="10377"/>
    <n v="13755"/>
    <n v="4"/>
    <s v="Y"/>
    <x v="0"/>
    <n v="11"/>
    <x v="0"/>
    <n v="2"/>
    <n v="80"/>
    <x v="1"/>
    <n v="16"/>
    <x v="6"/>
    <x v="2"/>
    <n v="13"/>
    <n v="2"/>
    <x v="5"/>
    <n v="12"/>
  </r>
  <r>
    <n v="27"/>
    <x v="1"/>
    <x v="0"/>
    <n v="1103"/>
    <x v="1"/>
    <x v="24"/>
    <x v="3"/>
    <s v="Life Sciences"/>
    <n v="1"/>
    <n v="1244"/>
    <n v="1"/>
    <x v="1"/>
    <n v="42"/>
    <x v="0"/>
    <n v="1"/>
    <x v="1"/>
    <n v="1"/>
    <x v="1"/>
    <n v="2235"/>
    <n v="14377"/>
    <n v="1"/>
    <s v="Y"/>
    <x v="0"/>
    <n v="14"/>
    <x v="0"/>
    <n v="4"/>
    <n v="80"/>
    <x v="3"/>
    <n v="9"/>
    <x v="1"/>
    <x v="2"/>
    <n v="9"/>
    <n v="7"/>
    <x v="7"/>
    <n v="8"/>
  </r>
  <r>
    <n v="54"/>
    <x v="1"/>
    <x v="1"/>
    <n v="966"/>
    <x v="1"/>
    <x v="0"/>
    <x v="2"/>
    <s v="Life Sciences"/>
    <n v="1"/>
    <n v="1245"/>
    <n v="4"/>
    <x v="0"/>
    <n v="53"/>
    <x v="0"/>
    <n v="3"/>
    <x v="3"/>
    <n v="3"/>
    <x v="2"/>
    <n v="10502"/>
    <n v="9659"/>
    <n v="7"/>
    <s v="Y"/>
    <x v="1"/>
    <n v="17"/>
    <x v="0"/>
    <n v="1"/>
    <n v="80"/>
    <x v="1"/>
    <n v="33"/>
    <x v="2"/>
    <x v="0"/>
    <n v="5"/>
    <n v="4"/>
    <x v="1"/>
    <n v="4"/>
  </r>
  <r>
    <n v="44"/>
    <x v="1"/>
    <x v="0"/>
    <n v="1117"/>
    <x v="1"/>
    <x v="2"/>
    <x v="1"/>
    <s v="Life Sciences"/>
    <n v="1"/>
    <n v="1246"/>
    <n v="1"/>
    <x v="0"/>
    <n v="72"/>
    <x v="2"/>
    <n v="1"/>
    <x v="1"/>
    <n v="4"/>
    <x v="1"/>
    <n v="2011"/>
    <n v="19982"/>
    <n v="1"/>
    <s v="Y"/>
    <x v="1"/>
    <n v="13"/>
    <x v="0"/>
    <n v="4"/>
    <n v="80"/>
    <x v="1"/>
    <n v="10"/>
    <x v="3"/>
    <x v="1"/>
    <n v="10"/>
    <n v="5"/>
    <x v="4"/>
    <n v="7"/>
  </r>
  <r>
    <n v="19"/>
    <x v="0"/>
    <x v="2"/>
    <n v="504"/>
    <x v="1"/>
    <x v="17"/>
    <x v="3"/>
    <s v="Medical"/>
    <n v="1"/>
    <n v="1248"/>
    <n v="1"/>
    <x v="0"/>
    <n v="96"/>
    <x v="1"/>
    <n v="1"/>
    <x v="1"/>
    <n v="2"/>
    <x v="0"/>
    <n v="1859"/>
    <n v="6148"/>
    <n v="1"/>
    <s v="Y"/>
    <x v="0"/>
    <n v="25"/>
    <x v="1"/>
    <n v="2"/>
    <n v="80"/>
    <x v="0"/>
    <n v="1"/>
    <x v="2"/>
    <x v="3"/>
    <n v="1"/>
    <n v="1"/>
    <x v="0"/>
    <n v="0"/>
  </r>
  <r>
    <n v="29"/>
    <x v="1"/>
    <x v="0"/>
    <n v="1010"/>
    <x v="1"/>
    <x v="0"/>
    <x v="3"/>
    <s v="Life Sciences"/>
    <n v="1"/>
    <n v="1249"/>
    <n v="1"/>
    <x v="0"/>
    <n v="97"/>
    <x v="0"/>
    <n v="1"/>
    <x v="1"/>
    <n v="4"/>
    <x v="2"/>
    <n v="3760"/>
    <n v="5598"/>
    <n v="1"/>
    <s v="Y"/>
    <x v="1"/>
    <n v="15"/>
    <x v="0"/>
    <n v="1"/>
    <n v="80"/>
    <x v="2"/>
    <n v="3"/>
    <x v="3"/>
    <x v="1"/>
    <n v="3"/>
    <n v="2"/>
    <x v="1"/>
    <n v="2"/>
  </r>
  <r>
    <n v="54"/>
    <x v="1"/>
    <x v="0"/>
    <n v="685"/>
    <x v="1"/>
    <x v="3"/>
    <x v="3"/>
    <s v="Life Sciences"/>
    <n v="1"/>
    <n v="1250"/>
    <n v="4"/>
    <x v="1"/>
    <n v="85"/>
    <x v="0"/>
    <n v="4"/>
    <x v="7"/>
    <n v="4"/>
    <x v="1"/>
    <n v="17779"/>
    <n v="23474"/>
    <n v="3"/>
    <s v="Y"/>
    <x v="1"/>
    <n v="14"/>
    <x v="0"/>
    <n v="1"/>
    <n v="80"/>
    <x v="0"/>
    <n v="36"/>
    <x v="2"/>
    <x v="1"/>
    <n v="10"/>
    <n v="9"/>
    <x v="0"/>
    <n v="9"/>
  </r>
  <r>
    <n v="31"/>
    <x v="1"/>
    <x v="0"/>
    <n v="1332"/>
    <x v="1"/>
    <x v="13"/>
    <x v="0"/>
    <s v="Medical"/>
    <n v="1"/>
    <n v="1251"/>
    <n v="3"/>
    <x v="1"/>
    <n v="80"/>
    <x v="0"/>
    <n v="2"/>
    <x v="4"/>
    <n v="1"/>
    <x v="1"/>
    <n v="6833"/>
    <n v="17089"/>
    <n v="1"/>
    <s v="Y"/>
    <x v="0"/>
    <n v="12"/>
    <x v="0"/>
    <n v="4"/>
    <n v="80"/>
    <x v="0"/>
    <n v="6"/>
    <x v="2"/>
    <x v="2"/>
    <n v="6"/>
    <n v="5"/>
    <x v="0"/>
    <n v="1"/>
  </r>
  <r>
    <n v="31"/>
    <x v="1"/>
    <x v="0"/>
    <n v="1062"/>
    <x v="1"/>
    <x v="4"/>
    <x v="3"/>
    <s v="Medical"/>
    <n v="1"/>
    <n v="1252"/>
    <n v="3"/>
    <x v="0"/>
    <n v="96"/>
    <x v="1"/>
    <n v="2"/>
    <x v="4"/>
    <n v="1"/>
    <x v="0"/>
    <n v="6812"/>
    <n v="17198"/>
    <n v="1"/>
    <s v="Y"/>
    <x v="1"/>
    <n v="19"/>
    <x v="0"/>
    <n v="2"/>
    <n v="80"/>
    <x v="0"/>
    <n v="10"/>
    <x v="2"/>
    <x v="1"/>
    <n v="10"/>
    <n v="9"/>
    <x v="1"/>
    <n v="8"/>
  </r>
  <r>
    <n v="59"/>
    <x v="1"/>
    <x v="0"/>
    <n v="326"/>
    <x v="0"/>
    <x v="3"/>
    <x v="3"/>
    <s v="Life Sciences"/>
    <n v="1"/>
    <n v="1254"/>
    <n v="3"/>
    <x v="0"/>
    <n v="48"/>
    <x v="1"/>
    <n v="2"/>
    <x v="0"/>
    <n v="4"/>
    <x v="0"/>
    <n v="5171"/>
    <n v="16490"/>
    <n v="5"/>
    <s v="Y"/>
    <x v="1"/>
    <n v="17"/>
    <x v="0"/>
    <n v="4"/>
    <n v="80"/>
    <x v="0"/>
    <n v="13"/>
    <x v="2"/>
    <x v="1"/>
    <n v="6"/>
    <n v="1"/>
    <x v="0"/>
    <n v="5"/>
  </r>
  <r>
    <n v="43"/>
    <x v="1"/>
    <x v="0"/>
    <n v="920"/>
    <x v="1"/>
    <x v="3"/>
    <x v="3"/>
    <s v="Life Sciences"/>
    <n v="1"/>
    <n v="1255"/>
    <n v="3"/>
    <x v="1"/>
    <n v="96"/>
    <x v="3"/>
    <n v="5"/>
    <x v="7"/>
    <n v="4"/>
    <x v="1"/>
    <n v="19740"/>
    <n v="18625"/>
    <n v="3"/>
    <s v="Y"/>
    <x v="1"/>
    <n v="14"/>
    <x v="0"/>
    <n v="2"/>
    <n v="80"/>
    <x v="1"/>
    <n v="25"/>
    <x v="2"/>
    <x v="1"/>
    <n v="8"/>
    <n v="7"/>
    <x v="0"/>
    <n v="7"/>
  </r>
  <r>
    <n v="49"/>
    <x v="1"/>
    <x v="0"/>
    <n v="1098"/>
    <x v="1"/>
    <x v="18"/>
    <x v="0"/>
    <s v="Medical"/>
    <n v="1"/>
    <n v="1256"/>
    <n v="1"/>
    <x v="1"/>
    <n v="85"/>
    <x v="1"/>
    <n v="5"/>
    <x v="5"/>
    <n v="3"/>
    <x v="1"/>
    <n v="18711"/>
    <n v="12124"/>
    <n v="2"/>
    <s v="Y"/>
    <x v="1"/>
    <n v="13"/>
    <x v="0"/>
    <n v="3"/>
    <n v="80"/>
    <x v="1"/>
    <n v="23"/>
    <x v="2"/>
    <x v="3"/>
    <n v="1"/>
    <n v="0"/>
    <x v="0"/>
    <n v="0"/>
  </r>
  <r>
    <n v="36"/>
    <x v="1"/>
    <x v="1"/>
    <n v="469"/>
    <x v="1"/>
    <x v="3"/>
    <x v="3"/>
    <s v="Technical Degree"/>
    <n v="1"/>
    <n v="1257"/>
    <n v="3"/>
    <x v="1"/>
    <n v="46"/>
    <x v="0"/>
    <n v="1"/>
    <x v="1"/>
    <n v="2"/>
    <x v="1"/>
    <n v="3692"/>
    <n v="9256"/>
    <n v="1"/>
    <s v="Y"/>
    <x v="1"/>
    <n v="12"/>
    <x v="0"/>
    <n v="3"/>
    <n v="80"/>
    <x v="0"/>
    <n v="12"/>
    <x v="2"/>
    <x v="2"/>
    <n v="11"/>
    <n v="10"/>
    <x v="0"/>
    <n v="7"/>
  </r>
  <r>
    <n v="48"/>
    <x v="1"/>
    <x v="0"/>
    <n v="969"/>
    <x v="1"/>
    <x v="2"/>
    <x v="0"/>
    <s v="Technical Degree"/>
    <n v="1"/>
    <n v="1258"/>
    <n v="4"/>
    <x v="1"/>
    <n v="76"/>
    <x v="2"/>
    <n v="1"/>
    <x v="2"/>
    <n v="2"/>
    <x v="0"/>
    <n v="2559"/>
    <n v="16620"/>
    <n v="5"/>
    <s v="Y"/>
    <x v="1"/>
    <n v="11"/>
    <x v="0"/>
    <n v="3"/>
    <n v="80"/>
    <x v="0"/>
    <n v="7"/>
    <x v="5"/>
    <x v="2"/>
    <n v="1"/>
    <n v="0"/>
    <x v="0"/>
    <n v="0"/>
  </r>
  <r>
    <n v="27"/>
    <x v="1"/>
    <x v="0"/>
    <n v="1167"/>
    <x v="1"/>
    <x v="18"/>
    <x v="0"/>
    <s v="Life Sciences"/>
    <n v="1"/>
    <n v="1259"/>
    <n v="1"/>
    <x v="1"/>
    <n v="76"/>
    <x v="0"/>
    <n v="1"/>
    <x v="1"/>
    <n v="3"/>
    <x v="2"/>
    <n v="2517"/>
    <n v="3208"/>
    <n v="1"/>
    <s v="Y"/>
    <x v="1"/>
    <n v="11"/>
    <x v="0"/>
    <n v="2"/>
    <n v="80"/>
    <x v="2"/>
    <n v="5"/>
    <x v="2"/>
    <x v="1"/>
    <n v="5"/>
    <n v="3"/>
    <x v="0"/>
    <n v="3"/>
  </r>
  <r>
    <n v="29"/>
    <x v="1"/>
    <x v="0"/>
    <n v="1329"/>
    <x v="1"/>
    <x v="15"/>
    <x v="3"/>
    <s v="Life Sciences"/>
    <n v="1"/>
    <n v="1260"/>
    <n v="3"/>
    <x v="1"/>
    <n v="82"/>
    <x v="0"/>
    <n v="2"/>
    <x v="4"/>
    <n v="4"/>
    <x v="2"/>
    <n v="6623"/>
    <n v="4204"/>
    <n v="1"/>
    <s v="Y"/>
    <x v="0"/>
    <n v="11"/>
    <x v="0"/>
    <n v="2"/>
    <n v="80"/>
    <x v="3"/>
    <n v="6"/>
    <x v="2"/>
    <x v="1"/>
    <n v="6"/>
    <n v="0"/>
    <x v="1"/>
    <n v="0"/>
  </r>
  <r>
    <n v="48"/>
    <x v="1"/>
    <x v="0"/>
    <n v="715"/>
    <x v="1"/>
    <x v="0"/>
    <x v="3"/>
    <s v="Life Sciences"/>
    <n v="1"/>
    <n v="1263"/>
    <n v="4"/>
    <x v="1"/>
    <n v="76"/>
    <x v="1"/>
    <n v="5"/>
    <x v="7"/>
    <n v="4"/>
    <x v="0"/>
    <n v="18265"/>
    <n v="8733"/>
    <n v="6"/>
    <s v="Y"/>
    <x v="1"/>
    <n v="12"/>
    <x v="0"/>
    <n v="3"/>
    <n v="80"/>
    <x v="0"/>
    <n v="25"/>
    <x v="1"/>
    <x v="3"/>
    <n v="1"/>
    <n v="0"/>
    <x v="0"/>
    <n v="0"/>
  </r>
  <r>
    <n v="29"/>
    <x v="1"/>
    <x v="0"/>
    <n v="694"/>
    <x v="1"/>
    <x v="0"/>
    <x v="3"/>
    <s v="Life Sciences"/>
    <n v="1"/>
    <n v="1264"/>
    <n v="4"/>
    <x v="0"/>
    <n v="87"/>
    <x v="1"/>
    <n v="4"/>
    <x v="7"/>
    <n v="4"/>
    <x v="2"/>
    <n v="16124"/>
    <n v="3423"/>
    <n v="3"/>
    <s v="Y"/>
    <x v="1"/>
    <n v="14"/>
    <x v="0"/>
    <n v="2"/>
    <n v="80"/>
    <x v="3"/>
    <n v="9"/>
    <x v="2"/>
    <x v="2"/>
    <n v="7"/>
    <n v="7"/>
    <x v="1"/>
    <n v="7"/>
  </r>
  <r>
    <n v="34"/>
    <x v="1"/>
    <x v="0"/>
    <n v="1320"/>
    <x v="1"/>
    <x v="25"/>
    <x v="3"/>
    <s v="Technical Degree"/>
    <n v="1"/>
    <n v="1265"/>
    <n v="3"/>
    <x v="0"/>
    <n v="89"/>
    <x v="2"/>
    <n v="1"/>
    <x v="1"/>
    <n v="3"/>
    <x v="1"/>
    <n v="2585"/>
    <n v="21643"/>
    <n v="0"/>
    <s v="Y"/>
    <x v="1"/>
    <n v="17"/>
    <x v="0"/>
    <n v="4"/>
    <n v="80"/>
    <x v="0"/>
    <n v="2"/>
    <x v="3"/>
    <x v="2"/>
    <n v="1"/>
    <n v="0"/>
    <x v="0"/>
    <n v="0"/>
  </r>
  <r>
    <n v="44"/>
    <x v="1"/>
    <x v="0"/>
    <n v="1099"/>
    <x v="0"/>
    <x v="12"/>
    <x v="3"/>
    <s v="Marketing"/>
    <n v="1"/>
    <n v="1267"/>
    <n v="2"/>
    <x v="1"/>
    <n v="88"/>
    <x v="0"/>
    <n v="5"/>
    <x v="5"/>
    <n v="2"/>
    <x v="1"/>
    <n v="18213"/>
    <n v="8751"/>
    <n v="7"/>
    <s v="Y"/>
    <x v="1"/>
    <n v="11"/>
    <x v="0"/>
    <n v="3"/>
    <n v="80"/>
    <x v="1"/>
    <n v="26"/>
    <x v="3"/>
    <x v="1"/>
    <n v="22"/>
    <n v="9"/>
    <x v="2"/>
    <n v="10"/>
  </r>
  <r>
    <n v="33"/>
    <x v="1"/>
    <x v="0"/>
    <n v="536"/>
    <x v="0"/>
    <x v="17"/>
    <x v="4"/>
    <s v="Marketing"/>
    <n v="1"/>
    <n v="1268"/>
    <n v="4"/>
    <x v="1"/>
    <n v="82"/>
    <x v="2"/>
    <n v="3"/>
    <x v="0"/>
    <n v="3"/>
    <x v="2"/>
    <n v="8380"/>
    <n v="21708"/>
    <n v="0"/>
    <s v="Y"/>
    <x v="0"/>
    <n v="14"/>
    <x v="0"/>
    <n v="4"/>
    <n v="80"/>
    <x v="3"/>
    <n v="10"/>
    <x v="1"/>
    <x v="1"/>
    <n v="9"/>
    <n v="8"/>
    <x v="0"/>
    <n v="8"/>
  </r>
  <r>
    <n v="19"/>
    <x v="1"/>
    <x v="0"/>
    <n v="265"/>
    <x v="1"/>
    <x v="19"/>
    <x v="3"/>
    <s v="Life Sciences"/>
    <n v="1"/>
    <n v="1269"/>
    <n v="2"/>
    <x v="0"/>
    <n v="57"/>
    <x v="2"/>
    <n v="1"/>
    <x v="1"/>
    <n v="4"/>
    <x v="0"/>
    <n v="2994"/>
    <n v="21221"/>
    <n v="1"/>
    <s v="Y"/>
    <x v="0"/>
    <n v="12"/>
    <x v="0"/>
    <n v="4"/>
    <n v="80"/>
    <x v="0"/>
    <n v="1"/>
    <x v="2"/>
    <x v="1"/>
    <n v="1"/>
    <n v="0"/>
    <x v="0"/>
    <n v="1"/>
  </r>
  <r>
    <n v="23"/>
    <x v="1"/>
    <x v="0"/>
    <n v="373"/>
    <x v="1"/>
    <x v="0"/>
    <x v="0"/>
    <s v="Life Sciences"/>
    <n v="1"/>
    <n v="1270"/>
    <n v="4"/>
    <x v="1"/>
    <n v="47"/>
    <x v="0"/>
    <n v="1"/>
    <x v="1"/>
    <n v="3"/>
    <x v="1"/>
    <n v="1223"/>
    <n v="16901"/>
    <n v="1"/>
    <s v="Y"/>
    <x v="1"/>
    <n v="22"/>
    <x v="1"/>
    <n v="4"/>
    <n v="80"/>
    <x v="1"/>
    <n v="1"/>
    <x v="2"/>
    <x v="1"/>
    <n v="1"/>
    <n v="0"/>
    <x v="0"/>
    <n v="1"/>
  </r>
  <r>
    <n v="25"/>
    <x v="0"/>
    <x v="1"/>
    <n v="599"/>
    <x v="0"/>
    <x v="4"/>
    <x v="1"/>
    <s v="Life Sciences"/>
    <n v="1"/>
    <n v="1273"/>
    <n v="3"/>
    <x v="1"/>
    <n v="73"/>
    <x v="3"/>
    <n v="1"/>
    <x v="6"/>
    <n v="4"/>
    <x v="0"/>
    <n v="1118"/>
    <n v="8040"/>
    <n v="1"/>
    <s v="Y"/>
    <x v="0"/>
    <n v="14"/>
    <x v="0"/>
    <n v="4"/>
    <n v="80"/>
    <x v="0"/>
    <n v="1"/>
    <x v="5"/>
    <x v="1"/>
    <n v="1"/>
    <n v="0"/>
    <x v="1"/>
    <n v="0"/>
  </r>
  <r>
    <n v="26"/>
    <x v="1"/>
    <x v="0"/>
    <n v="583"/>
    <x v="1"/>
    <x v="18"/>
    <x v="0"/>
    <s v="Life Sciences"/>
    <n v="1"/>
    <n v="1275"/>
    <n v="3"/>
    <x v="1"/>
    <n v="53"/>
    <x v="0"/>
    <n v="1"/>
    <x v="1"/>
    <n v="4"/>
    <x v="0"/>
    <n v="2875"/>
    <n v="9973"/>
    <n v="1"/>
    <s v="Y"/>
    <x v="0"/>
    <n v="20"/>
    <x v="1"/>
    <n v="2"/>
    <n v="80"/>
    <x v="0"/>
    <n v="8"/>
    <x v="2"/>
    <x v="2"/>
    <n v="8"/>
    <n v="5"/>
    <x v="3"/>
    <n v="2"/>
  </r>
  <r>
    <n v="45"/>
    <x v="0"/>
    <x v="0"/>
    <n v="1449"/>
    <x v="0"/>
    <x v="2"/>
    <x v="3"/>
    <s v="Marketing"/>
    <n v="1"/>
    <n v="1277"/>
    <n v="1"/>
    <x v="0"/>
    <n v="94"/>
    <x v="3"/>
    <n v="5"/>
    <x v="5"/>
    <n v="2"/>
    <x v="0"/>
    <n v="18824"/>
    <n v="2493"/>
    <n v="2"/>
    <s v="Y"/>
    <x v="0"/>
    <n v="16"/>
    <x v="0"/>
    <n v="1"/>
    <n v="80"/>
    <x v="0"/>
    <n v="26"/>
    <x v="2"/>
    <x v="1"/>
    <n v="24"/>
    <n v="10"/>
    <x v="1"/>
    <n v="11"/>
  </r>
  <r>
    <n v="55"/>
    <x v="1"/>
    <x v="2"/>
    <n v="177"/>
    <x v="1"/>
    <x v="1"/>
    <x v="1"/>
    <s v="Medical"/>
    <n v="1"/>
    <n v="1278"/>
    <n v="4"/>
    <x v="1"/>
    <n v="37"/>
    <x v="1"/>
    <n v="4"/>
    <x v="4"/>
    <n v="2"/>
    <x v="2"/>
    <n v="13577"/>
    <n v="25592"/>
    <n v="1"/>
    <s v="Y"/>
    <x v="0"/>
    <n v="15"/>
    <x v="0"/>
    <n v="4"/>
    <n v="80"/>
    <x v="1"/>
    <n v="34"/>
    <x v="1"/>
    <x v="1"/>
    <n v="33"/>
    <n v="9"/>
    <x v="9"/>
    <n v="0"/>
  </r>
  <r>
    <n v="21"/>
    <x v="0"/>
    <x v="1"/>
    <n v="251"/>
    <x v="1"/>
    <x v="17"/>
    <x v="0"/>
    <s v="Life Sciences"/>
    <n v="1"/>
    <n v="1279"/>
    <n v="1"/>
    <x v="0"/>
    <n v="45"/>
    <x v="1"/>
    <n v="1"/>
    <x v="2"/>
    <n v="3"/>
    <x v="0"/>
    <n v="2625"/>
    <n v="25308"/>
    <n v="1"/>
    <s v="Y"/>
    <x v="1"/>
    <n v="20"/>
    <x v="1"/>
    <n v="3"/>
    <n v="80"/>
    <x v="0"/>
    <n v="2"/>
    <x v="2"/>
    <x v="0"/>
    <n v="2"/>
    <n v="2"/>
    <x v="3"/>
    <n v="2"/>
  </r>
  <r>
    <n v="46"/>
    <x v="1"/>
    <x v="0"/>
    <n v="168"/>
    <x v="0"/>
    <x v="18"/>
    <x v="0"/>
    <s v="Marketing"/>
    <n v="1"/>
    <n v="1280"/>
    <n v="4"/>
    <x v="0"/>
    <n v="33"/>
    <x v="1"/>
    <n v="5"/>
    <x v="5"/>
    <n v="2"/>
    <x v="1"/>
    <n v="18789"/>
    <n v="9946"/>
    <n v="2"/>
    <s v="Y"/>
    <x v="1"/>
    <n v="14"/>
    <x v="0"/>
    <n v="3"/>
    <n v="80"/>
    <x v="1"/>
    <n v="26"/>
    <x v="2"/>
    <x v="1"/>
    <n v="11"/>
    <n v="4"/>
    <x v="0"/>
    <n v="8"/>
  </r>
  <r>
    <n v="34"/>
    <x v="1"/>
    <x v="0"/>
    <n v="131"/>
    <x v="0"/>
    <x v="2"/>
    <x v="3"/>
    <s v="Marketing"/>
    <n v="1"/>
    <n v="1281"/>
    <n v="3"/>
    <x v="0"/>
    <n v="86"/>
    <x v="0"/>
    <n v="2"/>
    <x v="0"/>
    <n v="1"/>
    <x v="0"/>
    <n v="4538"/>
    <n v="6039"/>
    <n v="0"/>
    <s v="Y"/>
    <x v="0"/>
    <n v="12"/>
    <x v="0"/>
    <n v="4"/>
    <n v="80"/>
    <x v="0"/>
    <n v="4"/>
    <x v="1"/>
    <x v="1"/>
    <n v="3"/>
    <n v="2"/>
    <x v="0"/>
    <n v="2"/>
  </r>
  <r>
    <n v="51"/>
    <x v="1"/>
    <x v="1"/>
    <n v="237"/>
    <x v="0"/>
    <x v="14"/>
    <x v="3"/>
    <s v="Life Sciences"/>
    <n v="1"/>
    <n v="1282"/>
    <n v="4"/>
    <x v="1"/>
    <n v="83"/>
    <x v="0"/>
    <n v="5"/>
    <x v="5"/>
    <n v="2"/>
    <x v="2"/>
    <n v="19847"/>
    <n v="19196"/>
    <n v="4"/>
    <s v="Y"/>
    <x v="0"/>
    <n v="24"/>
    <x v="1"/>
    <n v="1"/>
    <n v="80"/>
    <x v="1"/>
    <n v="31"/>
    <x v="3"/>
    <x v="2"/>
    <n v="29"/>
    <n v="10"/>
    <x v="14"/>
    <n v="10"/>
  </r>
  <r>
    <n v="59"/>
    <x v="1"/>
    <x v="0"/>
    <n v="1429"/>
    <x v="1"/>
    <x v="21"/>
    <x v="2"/>
    <s v="Medical"/>
    <n v="1"/>
    <n v="1283"/>
    <n v="4"/>
    <x v="1"/>
    <n v="67"/>
    <x v="0"/>
    <n v="3"/>
    <x v="3"/>
    <n v="4"/>
    <x v="0"/>
    <n v="10512"/>
    <n v="20002"/>
    <n v="6"/>
    <s v="Y"/>
    <x v="1"/>
    <n v="12"/>
    <x v="0"/>
    <n v="4"/>
    <n v="80"/>
    <x v="0"/>
    <n v="25"/>
    <x v="6"/>
    <x v="2"/>
    <n v="9"/>
    <n v="7"/>
    <x v="8"/>
    <n v="4"/>
  </r>
  <r>
    <n v="34"/>
    <x v="1"/>
    <x v="1"/>
    <n v="135"/>
    <x v="1"/>
    <x v="10"/>
    <x v="3"/>
    <s v="Medical"/>
    <n v="1"/>
    <n v="1285"/>
    <n v="3"/>
    <x v="0"/>
    <n v="46"/>
    <x v="0"/>
    <n v="2"/>
    <x v="2"/>
    <n v="2"/>
    <x v="2"/>
    <n v="4444"/>
    <n v="22534"/>
    <n v="4"/>
    <s v="Y"/>
    <x v="1"/>
    <n v="13"/>
    <x v="0"/>
    <n v="3"/>
    <n v="80"/>
    <x v="3"/>
    <n v="15"/>
    <x v="2"/>
    <x v="3"/>
    <n v="11"/>
    <n v="8"/>
    <x v="8"/>
    <n v="10"/>
  </r>
  <r>
    <n v="28"/>
    <x v="1"/>
    <x v="1"/>
    <n v="791"/>
    <x v="1"/>
    <x v="0"/>
    <x v="2"/>
    <s v="Medical"/>
    <n v="1"/>
    <n v="1286"/>
    <n v="4"/>
    <x v="1"/>
    <n v="44"/>
    <x v="0"/>
    <n v="1"/>
    <x v="2"/>
    <n v="3"/>
    <x v="0"/>
    <n v="2154"/>
    <n v="6842"/>
    <n v="0"/>
    <s v="Y"/>
    <x v="0"/>
    <n v="11"/>
    <x v="0"/>
    <n v="3"/>
    <n v="80"/>
    <x v="0"/>
    <n v="5"/>
    <x v="2"/>
    <x v="2"/>
    <n v="4"/>
    <n v="2"/>
    <x v="0"/>
    <n v="2"/>
  </r>
  <r>
    <n v="44"/>
    <x v="1"/>
    <x v="0"/>
    <n v="1199"/>
    <x v="1"/>
    <x v="18"/>
    <x v="0"/>
    <s v="Life Sciences"/>
    <n v="1"/>
    <n v="1288"/>
    <n v="3"/>
    <x v="1"/>
    <n v="92"/>
    <x v="2"/>
    <n v="5"/>
    <x v="5"/>
    <n v="1"/>
    <x v="2"/>
    <n v="19190"/>
    <n v="17477"/>
    <n v="1"/>
    <s v="Y"/>
    <x v="1"/>
    <n v="14"/>
    <x v="0"/>
    <n v="4"/>
    <n v="80"/>
    <x v="3"/>
    <n v="26"/>
    <x v="5"/>
    <x v="2"/>
    <n v="25"/>
    <n v="9"/>
    <x v="15"/>
    <n v="13"/>
  </r>
  <r>
    <n v="34"/>
    <x v="1"/>
    <x v="1"/>
    <n v="648"/>
    <x v="2"/>
    <x v="13"/>
    <x v="3"/>
    <s v="Life Sciences"/>
    <n v="1"/>
    <n v="1289"/>
    <n v="3"/>
    <x v="1"/>
    <n v="56"/>
    <x v="1"/>
    <n v="2"/>
    <x v="8"/>
    <n v="2"/>
    <x v="1"/>
    <n v="4490"/>
    <n v="21833"/>
    <n v="4"/>
    <s v="Y"/>
    <x v="1"/>
    <n v="11"/>
    <x v="0"/>
    <n v="4"/>
    <n v="80"/>
    <x v="3"/>
    <n v="14"/>
    <x v="3"/>
    <x v="3"/>
    <n v="10"/>
    <n v="9"/>
    <x v="1"/>
    <n v="8"/>
  </r>
  <r>
    <n v="35"/>
    <x v="1"/>
    <x v="0"/>
    <n v="735"/>
    <x v="1"/>
    <x v="16"/>
    <x v="1"/>
    <s v="Life Sciences"/>
    <n v="1"/>
    <n v="1291"/>
    <n v="3"/>
    <x v="1"/>
    <n v="66"/>
    <x v="0"/>
    <n v="1"/>
    <x v="1"/>
    <n v="3"/>
    <x v="1"/>
    <n v="3506"/>
    <n v="6020"/>
    <n v="0"/>
    <s v="Y"/>
    <x v="0"/>
    <n v="14"/>
    <x v="0"/>
    <n v="4"/>
    <n v="80"/>
    <x v="0"/>
    <n v="4"/>
    <x v="1"/>
    <x v="1"/>
    <n v="3"/>
    <n v="2"/>
    <x v="3"/>
    <n v="2"/>
  </r>
  <r>
    <n v="42"/>
    <x v="1"/>
    <x v="0"/>
    <n v="603"/>
    <x v="1"/>
    <x v="15"/>
    <x v="2"/>
    <s v="Medical"/>
    <n v="1"/>
    <n v="1292"/>
    <n v="2"/>
    <x v="0"/>
    <n v="78"/>
    <x v="2"/>
    <n v="2"/>
    <x v="1"/>
    <n v="2"/>
    <x v="1"/>
    <n v="2372"/>
    <n v="5628"/>
    <n v="6"/>
    <s v="Y"/>
    <x v="0"/>
    <n v="16"/>
    <x v="0"/>
    <n v="4"/>
    <n v="80"/>
    <x v="0"/>
    <n v="18"/>
    <x v="2"/>
    <x v="1"/>
    <n v="1"/>
    <n v="0"/>
    <x v="0"/>
    <n v="0"/>
  </r>
  <r>
    <n v="43"/>
    <x v="1"/>
    <x v="0"/>
    <n v="531"/>
    <x v="0"/>
    <x v="18"/>
    <x v="2"/>
    <s v="Marketing"/>
    <n v="1"/>
    <n v="1293"/>
    <n v="4"/>
    <x v="0"/>
    <n v="56"/>
    <x v="1"/>
    <n v="3"/>
    <x v="0"/>
    <n v="4"/>
    <x v="0"/>
    <n v="10231"/>
    <n v="20364"/>
    <n v="3"/>
    <s v="Y"/>
    <x v="1"/>
    <n v="14"/>
    <x v="0"/>
    <n v="4"/>
    <n v="80"/>
    <x v="0"/>
    <n v="23"/>
    <x v="1"/>
    <x v="3"/>
    <n v="21"/>
    <n v="7"/>
    <x v="9"/>
    <n v="17"/>
  </r>
  <r>
    <n v="36"/>
    <x v="1"/>
    <x v="0"/>
    <n v="429"/>
    <x v="1"/>
    <x v="2"/>
    <x v="2"/>
    <s v="Life Sciences"/>
    <n v="1"/>
    <n v="1294"/>
    <n v="3"/>
    <x v="0"/>
    <n v="53"/>
    <x v="0"/>
    <n v="2"/>
    <x v="3"/>
    <n v="2"/>
    <x v="0"/>
    <n v="5410"/>
    <n v="2323"/>
    <n v="9"/>
    <s v="Y"/>
    <x v="0"/>
    <n v="11"/>
    <x v="0"/>
    <n v="4"/>
    <n v="80"/>
    <x v="0"/>
    <n v="18"/>
    <x v="2"/>
    <x v="1"/>
    <n v="16"/>
    <n v="14"/>
    <x v="8"/>
    <n v="12"/>
  </r>
  <r>
    <n v="44"/>
    <x v="0"/>
    <x v="0"/>
    <n v="621"/>
    <x v="1"/>
    <x v="8"/>
    <x v="3"/>
    <s v="Medical"/>
    <n v="1"/>
    <n v="1295"/>
    <n v="1"/>
    <x v="0"/>
    <n v="73"/>
    <x v="0"/>
    <n v="3"/>
    <x v="4"/>
    <n v="4"/>
    <x v="1"/>
    <n v="7978"/>
    <n v="14075"/>
    <n v="1"/>
    <s v="Y"/>
    <x v="1"/>
    <n v="11"/>
    <x v="0"/>
    <n v="4"/>
    <n v="80"/>
    <x v="1"/>
    <n v="10"/>
    <x v="2"/>
    <x v="1"/>
    <n v="10"/>
    <n v="7"/>
    <x v="0"/>
    <n v="5"/>
  </r>
  <r>
    <n v="28"/>
    <x v="1"/>
    <x v="1"/>
    <n v="193"/>
    <x v="1"/>
    <x v="2"/>
    <x v="3"/>
    <s v="Life Sciences"/>
    <n v="1"/>
    <n v="1296"/>
    <n v="4"/>
    <x v="1"/>
    <n v="52"/>
    <x v="1"/>
    <n v="1"/>
    <x v="2"/>
    <n v="4"/>
    <x v="1"/>
    <n v="3867"/>
    <n v="14222"/>
    <n v="1"/>
    <s v="Y"/>
    <x v="0"/>
    <n v="12"/>
    <x v="0"/>
    <n v="2"/>
    <n v="80"/>
    <x v="1"/>
    <n v="2"/>
    <x v="2"/>
    <x v="1"/>
    <n v="2"/>
    <n v="2"/>
    <x v="3"/>
    <n v="2"/>
  </r>
  <r>
    <n v="51"/>
    <x v="1"/>
    <x v="1"/>
    <n v="968"/>
    <x v="1"/>
    <x v="16"/>
    <x v="0"/>
    <s v="Medical"/>
    <n v="1"/>
    <n v="1297"/>
    <n v="2"/>
    <x v="0"/>
    <n v="40"/>
    <x v="1"/>
    <n v="1"/>
    <x v="2"/>
    <n v="3"/>
    <x v="0"/>
    <n v="2838"/>
    <n v="4257"/>
    <n v="0"/>
    <s v="Y"/>
    <x v="1"/>
    <n v="14"/>
    <x v="0"/>
    <n v="2"/>
    <n v="80"/>
    <x v="0"/>
    <n v="8"/>
    <x v="6"/>
    <x v="2"/>
    <n v="7"/>
    <n v="0"/>
    <x v="4"/>
    <n v="7"/>
  </r>
  <r>
    <n v="30"/>
    <x v="1"/>
    <x v="2"/>
    <n v="879"/>
    <x v="1"/>
    <x v="14"/>
    <x v="0"/>
    <s v="Medical"/>
    <n v="1"/>
    <n v="1298"/>
    <n v="3"/>
    <x v="0"/>
    <n v="72"/>
    <x v="0"/>
    <n v="2"/>
    <x v="3"/>
    <n v="3"/>
    <x v="0"/>
    <n v="4695"/>
    <n v="12858"/>
    <n v="7"/>
    <s v="Y"/>
    <x v="0"/>
    <n v="18"/>
    <x v="0"/>
    <n v="3"/>
    <n v="80"/>
    <x v="0"/>
    <n v="10"/>
    <x v="1"/>
    <x v="1"/>
    <n v="8"/>
    <n v="4"/>
    <x v="1"/>
    <n v="7"/>
  </r>
  <r>
    <n v="29"/>
    <x v="0"/>
    <x v="0"/>
    <n v="806"/>
    <x v="1"/>
    <x v="15"/>
    <x v="3"/>
    <s v="Technical Degree"/>
    <n v="1"/>
    <n v="1299"/>
    <n v="2"/>
    <x v="0"/>
    <n v="39"/>
    <x v="0"/>
    <n v="1"/>
    <x v="2"/>
    <n v="3"/>
    <x v="2"/>
    <n v="3339"/>
    <n v="17285"/>
    <n v="3"/>
    <s v="Y"/>
    <x v="0"/>
    <n v="13"/>
    <x v="0"/>
    <n v="1"/>
    <n v="80"/>
    <x v="3"/>
    <n v="10"/>
    <x v="2"/>
    <x v="1"/>
    <n v="7"/>
    <n v="7"/>
    <x v="4"/>
    <n v="7"/>
  </r>
  <r>
    <n v="28"/>
    <x v="1"/>
    <x v="0"/>
    <n v="640"/>
    <x v="1"/>
    <x v="0"/>
    <x v="3"/>
    <s v="Technical Degree"/>
    <n v="1"/>
    <n v="1301"/>
    <n v="4"/>
    <x v="1"/>
    <n v="84"/>
    <x v="0"/>
    <n v="1"/>
    <x v="1"/>
    <n v="1"/>
    <x v="0"/>
    <n v="2080"/>
    <n v="4732"/>
    <n v="2"/>
    <s v="Y"/>
    <x v="1"/>
    <n v="11"/>
    <x v="0"/>
    <n v="2"/>
    <n v="80"/>
    <x v="0"/>
    <n v="5"/>
    <x v="2"/>
    <x v="2"/>
    <n v="3"/>
    <n v="2"/>
    <x v="1"/>
    <n v="2"/>
  </r>
  <r>
    <n v="25"/>
    <x v="1"/>
    <x v="0"/>
    <n v="266"/>
    <x v="1"/>
    <x v="0"/>
    <x v="3"/>
    <s v="Medical"/>
    <n v="1"/>
    <n v="1303"/>
    <n v="4"/>
    <x v="0"/>
    <n v="40"/>
    <x v="0"/>
    <n v="1"/>
    <x v="1"/>
    <n v="2"/>
    <x v="0"/>
    <n v="2096"/>
    <n v="18830"/>
    <n v="1"/>
    <s v="Y"/>
    <x v="1"/>
    <n v="18"/>
    <x v="0"/>
    <n v="4"/>
    <n v="80"/>
    <x v="0"/>
    <n v="2"/>
    <x v="1"/>
    <x v="2"/>
    <n v="2"/>
    <n v="2"/>
    <x v="3"/>
    <n v="1"/>
  </r>
  <r>
    <n v="32"/>
    <x v="1"/>
    <x v="0"/>
    <n v="604"/>
    <x v="0"/>
    <x v="1"/>
    <x v="3"/>
    <s v="Medical"/>
    <n v="1"/>
    <n v="1304"/>
    <n v="3"/>
    <x v="1"/>
    <n v="56"/>
    <x v="2"/>
    <n v="2"/>
    <x v="0"/>
    <n v="4"/>
    <x v="1"/>
    <n v="6209"/>
    <n v="11693"/>
    <n v="1"/>
    <s v="Y"/>
    <x v="1"/>
    <n v="15"/>
    <x v="0"/>
    <n v="3"/>
    <n v="80"/>
    <x v="3"/>
    <n v="10"/>
    <x v="5"/>
    <x v="3"/>
    <n v="10"/>
    <n v="7"/>
    <x v="0"/>
    <n v="8"/>
  </r>
  <r>
    <n v="45"/>
    <x v="1"/>
    <x v="1"/>
    <n v="364"/>
    <x v="1"/>
    <x v="19"/>
    <x v="3"/>
    <s v="Medical"/>
    <n v="1"/>
    <n v="1306"/>
    <n v="2"/>
    <x v="0"/>
    <n v="83"/>
    <x v="0"/>
    <n v="5"/>
    <x v="5"/>
    <n v="2"/>
    <x v="0"/>
    <n v="18061"/>
    <n v="13035"/>
    <n v="3"/>
    <s v="Y"/>
    <x v="1"/>
    <n v="22"/>
    <x v="1"/>
    <n v="3"/>
    <n v="80"/>
    <x v="0"/>
    <n v="22"/>
    <x v="5"/>
    <x v="1"/>
    <n v="0"/>
    <n v="0"/>
    <x v="0"/>
    <n v="0"/>
  </r>
  <r>
    <n v="39"/>
    <x v="1"/>
    <x v="0"/>
    <n v="412"/>
    <x v="1"/>
    <x v="28"/>
    <x v="2"/>
    <s v="Medical"/>
    <n v="1"/>
    <n v="1307"/>
    <n v="3"/>
    <x v="0"/>
    <n v="94"/>
    <x v="1"/>
    <n v="4"/>
    <x v="5"/>
    <n v="2"/>
    <x v="2"/>
    <n v="17123"/>
    <n v="17334"/>
    <n v="6"/>
    <s v="Y"/>
    <x v="0"/>
    <n v="13"/>
    <x v="0"/>
    <n v="4"/>
    <n v="80"/>
    <x v="3"/>
    <n v="21"/>
    <x v="5"/>
    <x v="1"/>
    <n v="19"/>
    <n v="9"/>
    <x v="9"/>
    <n v="2"/>
  </r>
  <r>
    <n v="58"/>
    <x v="1"/>
    <x v="0"/>
    <n v="848"/>
    <x v="1"/>
    <x v="5"/>
    <x v="2"/>
    <s v="Life Sciences"/>
    <n v="1"/>
    <n v="1308"/>
    <n v="1"/>
    <x v="1"/>
    <n v="88"/>
    <x v="0"/>
    <n v="1"/>
    <x v="1"/>
    <n v="3"/>
    <x v="2"/>
    <n v="2372"/>
    <n v="26076"/>
    <n v="1"/>
    <s v="Y"/>
    <x v="1"/>
    <n v="12"/>
    <x v="0"/>
    <n v="4"/>
    <n v="80"/>
    <x v="3"/>
    <n v="2"/>
    <x v="1"/>
    <x v="1"/>
    <n v="2"/>
    <n v="2"/>
    <x v="3"/>
    <n v="2"/>
  </r>
  <r>
    <n v="32"/>
    <x v="0"/>
    <x v="0"/>
    <n v="1089"/>
    <x v="1"/>
    <x v="15"/>
    <x v="0"/>
    <s v="Life Sciences"/>
    <n v="1"/>
    <n v="1309"/>
    <n v="4"/>
    <x v="1"/>
    <n v="79"/>
    <x v="0"/>
    <n v="2"/>
    <x v="2"/>
    <n v="3"/>
    <x v="1"/>
    <n v="4883"/>
    <n v="22845"/>
    <n v="1"/>
    <s v="Y"/>
    <x v="1"/>
    <n v="18"/>
    <x v="0"/>
    <n v="1"/>
    <n v="80"/>
    <x v="1"/>
    <n v="10"/>
    <x v="1"/>
    <x v="1"/>
    <n v="10"/>
    <n v="4"/>
    <x v="1"/>
    <n v="1"/>
  </r>
  <r>
    <n v="39"/>
    <x v="0"/>
    <x v="0"/>
    <n v="360"/>
    <x v="1"/>
    <x v="5"/>
    <x v="3"/>
    <s v="Medical"/>
    <n v="1"/>
    <n v="1310"/>
    <n v="3"/>
    <x v="1"/>
    <n v="93"/>
    <x v="0"/>
    <n v="1"/>
    <x v="1"/>
    <n v="1"/>
    <x v="0"/>
    <n v="3904"/>
    <n v="22154"/>
    <n v="0"/>
    <s v="Y"/>
    <x v="1"/>
    <n v="13"/>
    <x v="0"/>
    <n v="1"/>
    <n v="80"/>
    <x v="0"/>
    <n v="6"/>
    <x v="2"/>
    <x v="1"/>
    <n v="5"/>
    <n v="2"/>
    <x v="0"/>
    <n v="3"/>
  </r>
  <r>
    <n v="30"/>
    <x v="1"/>
    <x v="0"/>
    <n v="1138"/>
    <x v="1"/>
    <x v="16"/>
    <x v="3"/>
    <s v="Technical Degree"/>
    <n v="1"/>
    <n v="1311"/>
    <n v="1"/>
    <x v="0"/>
    <n v="48"/>
    <x v="1"/>
    <n v="2"/>
    <x v="2"/>
    <n v="4"/>
    <x v="1"/>
    <n v="4627"/>
    <n v="23631"/>
    <n v="0"/>
    <s v="Y"/>
    <x v="1"/>
    <n v="12"/>
    <x v="0"/>
    <n v="1"/>
    <n v="80"/>
    <x v="1"/>
    <n v="10"/>
    <x v="6"/>
    <x v="1"/>
    <n v="9"/>
    <n v="2"/>
    <x v="7"/>
    <n v="7"/>
  </r>
  <r>
    <n v="36"/>
    <x v="1"/>
    <x v="0"/>
    <n v="325"/>
    <x v="1"/>
    <x v="17"/>
    <x v="2"/>
    <s v="Technical Degree"/>
    <n v="1"/>
    <n v="1312"/>
    <n v="4"/>
    <x v="0"/>
    <n v="63"/>
    <x v="0"/>
    <n v="3"/>
    <x v="4"/>
    <n v="3"/>
    <x v="1"/>
    <n v="7094"/>
    <n v="5747"/>
    <n v="3"/>
    <s v="Y"/>
    <x v="1"/>
    <n v="12"/>
    <x v="0"/>
    <n v="1"/>
    <n v="80"/>
    <x v="0"/>
    <n v="10"/>
    <x v="0"/>
    <x v="1"/>
    <n v="7"/>
    <n v="7"/>
    <x v="1"/>
    <n v="7"/>
  </r>
  <r>
    <n v="46"/>
    <x v="1"/>
    <x v="0"/>
    <n v="991"/>
    <x v="2"/>
    <x v="0"/>
    <x v="0"/>
    <s v="Life Sciences"/>
    <n v="1"/>
    <n v="1314"/>
    <n v="4"/>
    <x v="0"/>
    <n v="44"/>
    <x v="0"/>
    <n v="1"/>
    <x v="8"/>
    <n v="1"/>
    <x v="0"/>
    <n v="3423"/>
    <n v="22957"/>
    <n v="6"/>
    <s v="Y"/>
    <x v="1"/>
    <n v="12"/>
    <x v="0"/>
    <n v="3"/>
    <n v="80"/>
    <x v="0"/>
    <n v="10"/>
    <x v="1"/>
    <x v="3"/>
    <n v="7"/>
    <n v="6"/>
    <x v="8"/>
    <n v="7"/>
  </r>
  <r>
    <n v="28"/>
    <x v="1"/>
    <x v="2"/>
    <n v="1476"/>
    <x v="1"/>
    <x v="0"/>
    <x v="3"/>
    <s v="Life Sciences"/>
    <n v="1"/>
    <n v="1315"/>
    <n v="3"/>
    <x v="0"/>
    <n v="55"/>
    <x v="3"/>
    <n v="2"/>
    <x v="2"/>
    <n v="4"/>
    <x v="1"/>
    <n v="6674"/>
    <n v="16392"/>
    <n v="0"/>
    <s v="Y"/>
    <x v="1"/>
    <n v="11"/>
    <x v="0"/>
    <n v="1"/>
    <n v="80"/>
    <x v="2"/>
    <n v="10"/>
    <x v="6"/>
    <x v="1"/>
    <n v="9"/>
    <n v="8"/>
    <x v="4"/>
    <n v="5"/>
  </r>
  <r>
    <n v="50"/>
    <x v="1"/>
    <x v="0"/>
    <n v="1322"/>
    <x v="1"/>
    <x v="26"/>
    <x v="3"/>
    <s v="Life Sciences"/>
    <n v="1"/>
    <n v="1317"/>
    <n v="4"/>
    <x v="0"/>
    <n v="43"/>
    <x v="0"/>
    <n v="4"/>
    <x v="7"/>
    <n v="1"/>
    <x v="1"/>
    <n v="16880"/>
    <n v="22422"/>
    <n v="4"/>
    <s v="Y"/>
    <x v="0"/>
    <n v="11"/>
    <x v="0"/>
    <n v="2"/>
    <n v="80"/>
    <x v="0"/>
    <n v="25"/>
    <x v="2"/>
    <x v="1"/>
    <n v="3"/>
    <n v="2"/>
    <x v="1"/>
    <n v="2"/>
  </r>
  <r>
    <n v="40"/>
    <x v="0"/>
    <x v="0"/>
    <n v="299"/>
    <x v="0"/>
    <x v="19"/>
    <x v="2"/>
    <s v="Marketing"/>
    <n v="1"/>
    <n v="1318"/>
    <n v="4"/>
    <x v="1"/>
    <n v="57"/>
    <x v="1"/>
    <n v="3"/>
    <x v="0"/>
    <n v="2"/>
    <x v="0"/>
    <n v="9094"/>
    <n v="17235"/>
    <n v="2"/>
    <s v="Y"/>
    <x v="0"/>
    <n v="12"/>
    <x v="0"/>
    <n v="3"/>
    <n v="80"/>
    <x v="0"/>
    <n v="9"/>
    <x v="2"/>
    <x v="1"/>
    <n v="5"/>
    <n v="4"/>
    <x v="1"/>
    <n v="0"/>
  </r>
  <r>
    <n v="52"/>
    <x v="0"/>
    <x v="0"/>
    <n v="1030"/>
    <x v="0"/>
    <x v="12"/>
    <x v="3"/>
    <s v="Life Sciences"/>
    <n v="1"/>
    <n v="1319"/>
    <n v="2"/>
    <x v="1"/>
    <n v="64"/>
    <x v="0"/>
    <n v="3"/>
    <x v="0"/>
    <n v="2"/>
    <x v="0"/>
    <n v="8446"/>
    <n v="21534"/>
    <n v="9"/>
    <s v="Y"/>
    <x v="0"/>
    <n v="19"/>
    <x v="0"/>
    <n v="3"/>
    <n v="80"/>
    <x v="0"/>
    <n v="10"/>
    <x v="2"/>
    <x v="2"/>
    <n v="8"/>
    <n v="7"/>
    <x v="4"/>
    <n v="7"/>
  </r>
  <r>
    <n v="30"/>
    <x v="1"/>
    <x v="0"/>
    <n v="634"/>
    <x v="1"/>
    <x v="27"/>
    <x v="2"/>
    <s v="Medical"/>
    <n v="1"/>
    <n v="1321"/>
    <n v="2"/>
    <x v="0"/>
    <n v="95"/>
    <x v="0"/>
    <n v="3"/>
    <x v="5"/>
    <n v="1"/>
    <x v="1"/>
    <n v="11916"/>
    <n v="25927"/>
    <n v="1"/>
    <s v="Y"/>
    <x v="0"/>
    <n v="23"/>
    <x v="1"/>
    <n v="4"/>
    <n v="80"/>
    <x v="3"/>
    <n v="9"/>
    <x v="2"/>
    <x v="1"/>
    <n v="9"/>
    <n v="1"/>
    <x v="0"/>
    <n v="8"/>
  </r>
  <r>
    <n v="39"/>
    <x v="1"/>
    <x v="0"/>
    <n v="524"/>
    <x v="1"/>
    <x v="21"/>
    <x v="0"/>
    <s v="Life Sciences"/>
    <n v="1"/>
    <n v="1322"/>
    <n v="1"/>
    <x v="1"/>
    <n v="32"/>
    <x v="0"/>
    <n v="2"/>
    <x v="3"/>
    <n v="3"/>
    <x v="0"/>
    <n v="4534"/>
    <n v="13352"/>
    <n v="0"/>
    <s v="Y"/>
    <x v="1"/>
    <n v="11"/>
    <x v="0"/>
    <n v="1"/>
    <n v="80"/>
    <x v="0"/>
    <n v="9"/>
    <x v="6"/>
    <x v="1"/>
    <n v="8"/>
    <n v="7"/>
    <x v="1"/>
    <n v="7"/>
  </r>
  <r>
    <n v="31"/>
    <x v="1"/>
    <x v="2"/>
    <n v="587"/>
    <x v="0"/>
    <x v="2"/>
    <x v="2"/>
    <s v="Life Sciences"/>
    <n v="1"/>
    <n v="1324"/>
    <n v="4"/>
    <x v="0"/>
    <n v="57"/>
    <x v="0"/>
    <n v="3"/>
    <x v="0"/>
    <n v="3"/>
    <x v="2"/>
    <n v="9852"/>
    <n v="8935"/>
    <n v="1"/>
    <s v="Y"/>
    <x v="0"/>
    <n v="19"/>
    <x v="0"/>
    <n v="1"/>
    <n v="80"/>
    <x v="1"/>
    <n v="10"/>
    <x v="3"/>
    <x v="2"/>
    <n v="10"/>
    <n v="8"/>
    <x v="10"/>
    <n v="6"/>
  </r>
  <r>
    <n v="41"/>
    <x v="1"/>
    <x v="2"/>
    <n v="256"/>
    <x v="0"/>
    <x v="17"/>
    <x v="0"/>
    <s v="Medical"/>
    <n v="1"/>
    <n v="1329"/>
    <n v="3"/>
    <x v="1"/>
    <n v="40"/>
    <x v="3"/>
    <n v="2"/>
    <x v="0"/>
    <n v="2"/>
    <x v="0"/>
    <n v="6151"/>
    <n v="22074"/>
    <n v="1"/>
    <s v="Y"/>
    <x v="1"/>
    <n v="13"/>
    <x v="0"/>
    <n v="1"/>
    <n v="80"/>
    <x v="0"/>
    <n v="19"/>
    <x v="5"/>
    <x v="1"/>
    <n v="19"/>
    <n v="2"/>
    <x v="14"/>
    <n v="9"/>
  </r>
  <r>
    <n v="31"/>
    <x v="0"/>
    <x v="1"/>
    <n v="1060"/>
    <x v="0"/>
    <x v="0"/>
    <x v="3"/>
    <s v="Life Sciences"/>
    <n v="1"/>
    <n v="1331"/>
    <n v="4"/>
    <x v="0"/>
    <n v="54"/>
    <x v="0"/>
    <n v="1"/>
    <x v="6"/>
    <n v="2"/>
    <x v="0"/>
    <n v="2302"/>
    <n v="8319"/>
    <n v="1"/>
    <s v="Y"/>
    <x v="0"/>
    <n v="11"/>
    <x v="0"/>
    <n v="1"/>
    <n v="80"/>
    <x v="0"/>
    <n v="3"/>
    <x v="2"/>
    <x v="3"/>
    <n v="3"/>
    <n v="2"/>
    <x v="3"/>
    <n v="2"/>
  </r>
  <r>
    <n v="44"/>
    <x v="0"/>
    <x v="0"/>
    <n v="935"/>
    <x v="1"/>
    <x v="3"/>
    <x v="3"/>
    <s v="Life Sciences"/>
    <n v="1"/>
    <n v="1333"/>
    <n v="1"/>
    <x v="1"/>
    <n v="89"/>
    <x v="0"/>
    <n v="1"/>
    <x v="2"/>
    <n v="1"/>
    <x v="1"/>
    <n v="2362"/>
    <n v="14669"/>
    <n v="4"/>
    <s v="Y"/>
    <x v="1"/>
    <n v="12"/>
    <x v="0"/>
    <n v="3"/>
    <n v="80"/>
    <x v="0"/>
    <n v="10"/>
    <x v="5"/>
    <x v="3"/>
    <n v="3"/>
    <n v="2"/>
    <x v="1"/>
    <n v="2"/>
  </r>
  <r>
    <n v="42"/>
    <x v="1"/>
    <x v="2"/>
    <n v="495"/>
    <x v="1"/>
    <x v="2"/>
    <x v="1"/>
    <s v="Life Sciences"/>
    <n v="1"/>
    <n v="1334"/>
    <n v="3"/>
    <x v="1"/>
    <n v="37"/>
    <x v="0"/>
    <n v="4"/>
    <x v="5"/>
    <n v="3"/>
    <x v="1"/>
    <n v="17861"/>
    <n v="26582"/>
    <n v="0"/>
    <s v="Y"/>
    <x v="0"/>
    <n v="13"/>
    <x v="0"/>
    <n v="4"/>
    <n v="80"/>
    <x v="0"/>
    <n v="21"/>
    <x v="1"/>
    <x v="2"/>
    <n v="20"/>
    <n v="8"/>
    <x v="3"/>
    <n v="10"/>
  </r>
  <r>
    <n v="55"/>
    <x v="1"/>
    <x v="0"/>
    <n v="282"/>
    <x v="1"/>
    <x v="2"/>
    <x v="0"/>
    <s v="Medical"/>
    <n v="1"/>
    <n v="1336"/>
    <n v="4"/>
    <x v="0"/>
    <n v="58"/>
    <x v="3"/>
    <n v="5"/>
    <x v="5"/>
    <n v="3"/>
    <x v="1"/>
    <n v="19187"/>
    <n v="6992"/>
    <n v="4"/>
    <s v="Y"/>
    <x v="1"/>
    <n v="14"/>
    <x v="0"/>
    <n v="4"/>
    <n v="80"/>
    <x v="1"/>
    <n v="23"/>
    <x v="3"/>
    <x v="1"/>
    <n v="19"/>
    <n v="9"/>
    <x v="10"/>
    <n v="11"/>
  </r>
  <r>
    <n v="56"/>
    <x v="1"/>
    <x v="0"/>
    <n v="206"/>
    <x v="2"/>
    <x v="1"/>
    <x v="2"/>
    <s v="Life Sciences"/>
    <n v="1"/>
    <n v="1338"/>
    <n v="4"/>
    <x v="1"/>
    <n v="99"/>
    <x v="0"/>
    <n v="5"/>
    <x v="5"/>
    <n v="2"/>
    <x v="0"/>
    <n v="19717"/>
    <n v="4022"/>
    <n v="6"/>
    <s v="Y"/>
    <x v="1"/>
    <n v="14"/>
    <x v="0"/>
    <n v="1"/>
    <n v="80"/>
    <x v="0"/>
    <n v="36"/>
    <x v="5"/>
    <x v="1"/>
    <n v="7"/>
    <n v="3"/>
    <x v="4"/>
    <n v="7"/>
  </r>
  <r>
    <n v="40"/>
    <x v="1"/>
    <x v="2"/>
    <n v="458"/>
    <x v="1"/>
    <x v="7"/>
    <x v="0"/>
    <s v="Life Sciences"/>
    <n v="1"/>
    <n v="1340"/>
    <n v="3"/>
    <x v="1"/>
    <n v="74"/>
    <x v="0"/>
    <n v="1"/>
    <x v="1"/>
    <n v="3"/>
    <x v="2"/>
    <n v="3544"/>
    <n v="8532"/>
    <n v="9"/>
    <s v="Y"/>
    <x v="1"/>
    <n v="16"/>
    <x v="0"/>
    <n v="2"/>
    <n v="80"/>
    <x v="1"/>
    <n v="6"/>
    <x v="0"/>
    <x v="1"/>
    <n v="4"/>
    <n v="2"/>
    <x v="0"/>
    <n v="0"/>
  </r>
  <r>
    <n v="34"/>
    <x v="1"/>
    <x v="0"/>
    <n v="943"/>
    <x v="1"/>
    <x v="14"/>
    <x v="3"/>
    <s v="Life Sciences"/>
    <n v="1"/>
    <n v="1344"/>
    <n v="4"/>
    <x v="1"/>
    <n v="86"/>
    <x v="0"/>
    <n v="3"/>
    <x v="4"/>
    <n v="4"/>
    <x v="2"/>
    <n v="8500"/>
    <n v="5494"/>
    <n v="0"/>
    <s v="Y"/>
    <x v="1"/>
    <n v="11"/>
    <x v="0"/>
    <n v="4"/>
    <n v="80"/>
    <x v="1"/>
    <n v="10"/>
    <x v="0"/>
    <x v="2"/>
    <n v="9"/>
    <n v="7"/>
    <x v="1"/>
    <n v="6"/>
  </r>
  <r>
    <n v="40"/>
    <x v="1"/>
    <x v="0"/>
    <n v="523"/>
    <x v="1"/>
    <x v="2"/>
    <x v="3"/>
    <s v="Life Sciences"/>
    <n v="1"/>
    <n v="1346"/>
    <n v="3"/>
    <x v="1"/>
    <n v="98"/>
    <x v="0"/>
    <n v="2"/>
    <x v="1"/>
    <n v="4"/>
    <x v="0"/>
    <n v="4661"/>
    <n v="22455"/>
    <n v="1"/>
    <s v="Y"/>
    <x v="1"/>
    <n v="13"/>
    <x v="0"/>
    <n v="3"/>
    <n v="80"/>
    <x v="0"/>
    <n v="9"/>
    <x v="5"/>
    <x v="1"/>
    <n v="9"/>
    <n v="8"/>
    <x v="6"/>
    <n v="8"/>
  </r>
  <r>
    <n v="41"/>
    <x v="1"/>
    <x v="1"/>
    <n v="1018"/>
    <x v="0"/>
    <x v="0"/>
    <x v="3"/>
    <s v="Marketing"/>
    <n v="1"/>
    <n v="1349"/>
    <n v="3"/>
    <x v="0"/>
    <n v="66"/>
    <x v="0"/>
    <n v="2"/>
    <x v="0"/>
    <n v="1"/>
    <x v="2"/>
    <n v="4103"/>
    <n v="4297"/>
    <n v="0"/>
    <s v="Y"/>
    <x v="1"/>
    <n v="17"/>
    <x v="0"/>
    <n v="4"/>
    <n v="80"/>
    <x v="1"/>
    <n v="10"/>
    <x v="2"/>
    <x v="1"/>
    <n v="9"/>
    <n v="3"/>
    <x v="1"/>
    <n v="7"/>
  </r>
  <r>
    <n v="35"/>
    <x v="1"/>
    <x v="1"/>
    <n v="482"/>
    <x v="1"/>
    <x v="18"/>
    <x v="2"/>
    <s v="Life Sciences"/>
    <n v="1"/>
    <n v="1350"/>
    <n v="3"/>
    <x v="1"/>
    <n v="87"/>
    <x v="0"/>
    <n v="2"/>
    <x v="1"/>
    <n v="3"/>
    <x v="0"/>
    <n v="4249"/>
    <n v="2690"/>
    <n v="1"/>
    <s v="Y"/>
    <x v="0"/>
    <n v="11"/>
    <x v="0"/>
    <n v="2"/>
    <n v="80"/>
    <x v="0"/>
    <n v="9"/>
    <x v="1"/>
    <x v="1"/>
    <n v="9"/>
    <n v="6"/>
    <x v="1"/>
    <n v="1"/>
  </r>
  <r>
    <n v="51"/>
    <x v="1"/>
    <x v="0"/>
    <n v="770"/>
    <x v="2"/>
    <x v="12"/>
    <x v="3"/>
    <s v="Life Sciences"/>
    <n v="1"/>
    <n v="1352"/>
    <n v="3"/>
    <x v="1"/>
    <n v="84"/>
    <x v="0"/>
    <n v="4"/>
    <x v="5"/>
    <n v="2"/>
    <x v="2"/>
    <n v="14026"/>
    <n v="17588"/>
    <n v="1"/>
    <s v="Y"/>
    <x v="0"/>
    <n v="11"/>
    <x v="0"/>
    <n v="2"/>
    <n v="80"/>
    <x v="1"/>
    <n v="33"/>
    <x v="2"/>
    <x v="1"/>
    <n v="33"/>
    <n v="9"/>
    <x v="0"/>
    <n v="10"/>
  </r>
  <r>
    <n v="38"/>
    <x v="1"/>
    <x v="0"/>
    <n v="1009"/>
    <x v="0"/>
    <x v="2"/>
    <x v="0"/>
    <s v="Life Sciences"/>
    <n v="1"/>
    <n v="1355"/>
    <n v="2"/>
    <x v="0"/>
    <n v="31"/>
    <x v="0"/>
    <n v="2"/>
    <x v="0"/>
    <n v="1"/>
    <x v="2"/>
    <n v="6893"/>
    <n v="19461"/>
    <n v="3"/>
    <s v="Y"/>
    <x v="1"/>
    <n v="15"/>
    <x v="0"/>
    <n v="4"/>
    <n v="80"/>
    <x v="1"/>
    <n v="11"/>
    <x v="1"/>
    <x v="1"/>
    <n v="7"/>
    <n v="7"/>
    <x v="1"/>
    <n v="7"/>
  </r>
  <r>
    <n v="34"/>
    <x v="1"/>
    <x v="0"/>
    <n v="507"/>
    <x v="0"/>
    <x v="8"/>
    <x v="0"/>
    <s v="Medical"/>
    <n v="1"/>
    <n v="1356"/>
    <n v="3"/>
    <x v="0"/>
    <n v="66"/>
    <x v="0"/>
    <n v="2"/>
    <x v="0"/>
    <n v="1"/>
    <x v="0"/>
    <n v="6125"/>
    <n v="23553"/>
    <n v="1"/>
    <s v="Y"/>
    <x v="1"/>
    <n v="12"/>
    <x v="0"/>
    <n v="4"/>
    <n v="80"/>
    <x v="0"/>
    <n v="10"/>
    <x v="6"/>
    <x v="3"/>
    <n v="10"/>
    <n v="8"/>
    <x v="10"/>
    <n v="6"/>
  </r>
  <r>
    <n v="25"/>
    <x v="1"/>
    <x v="0"/>
    <n v="882"/>
    <x v="1"/>
    <x v="10"/>
    <x v="1"/>
    <s v="Medical"/>
    <n v="1"/>
    <n v="1358"/>
    <n v="4"/>
    <x v="1"/>
    <n v="67"/>
    <x v="0"/>
    <n v="1"/>
    <x v="2"/>
    <n v="4"/>
    <x v="1"/>
    <n v="3669"/>
    <n v="9075"/>
    <n v="3"/>
    <s v="Y"/>
    <x v="1"/>
    <n v="11"/>
    <x v="0"/>
    <n v="3"/>
    <n v="80"/>
    <x v="2"/>
    <n v="7"/>
    <x v="6"/>
    <x v="2"/>
    <n v="3"/>
    <n v="2"/>
    <x v="1"/>
    <n v="2"/>
  </r>
  <r>
    <n v="58"/>
    <x v="0"/>
    <x v="0"/>
    <n v="601"/>
    <x v="1"/>
    <x v="15"/>
    <x v="2"/>
    <s v="Medical"/>
    <n v="1"/>
    <n v="1360"/>
    <n v="3"/>
    <x v="0"/>
    <n v="53"/>
    <x v="1"/>
    <n v="3"/>
    <x v="3"/>
    <n v="1"/>
    <x v="1"/>
    <n v="10008"/>
    <n v="12023"/>
    <n v="7"/>
    <s v="Y"/>
    <x v="0"/>
    <n v="14"/>
    <x v="0"/>
    <n v="4"/>
    <n v="80"/>
    <x v="0"/>
    <n v="31"/>
    <x v="0"/>
    <x v="2"/>
    <n v="10"/>
    <n v="9"/>
    <x v="8"/>
    <n v="9"/>
  </r>
  <r>
    <n v="40"/>
    <x v="1"/>
    <x v="0"/>
    <n v="329"/>
    <x v="1"/>
    <x v="0"/>
    <x v="2"/>
    <s v="Life Sciences"/>
    <n v="1"/>
    <n v="1361"/>
    <n v="2"/>
    <x v="1"/>
    <n v="88"/>
    <x v="0"/>
    <n v="1"/>
    <x v="2"/>
    <n v="2"/>
    <x v="1"/>
    <n v="2387"/>
    <n v="6762"/>
    <n v="3"/>
    <s v="Y"/>
    <x v="1"/>
    <n v="22"/>
    <x v="1"/>
    <n v="3"/>
    <n v="80"/>
    <x v="1"/>
    <n v="7"/>
    <x v="1"/>
    <x v="1"/>
    <n v="4"/>
    <n v="2"/>
    <x v="0"/>
    <n v="3"/>
  </r>
  <r>
    <n v="36"/>
    <x v="1"/>
    <x v="1"/>
    <n v="607"/>
    <x v="0"/>
    <x v="15"/>
    <x v="3"/>
    <s v="Marketing"/>
    <n v="1"/>
    <n v="1362"/>
    <n v="1"/>
    <x v="0"/>
    <n v="83"/>
    <x v="2"/>
    <n v="2"/>
    <x v="0"/>
    <n v="1"/>
    <x v="1"/>
    <n v="4639"/>
    <n v="2261"/>
    <n v="2"/>
    <s v="Y"/>
    <x v="1"/>
    <n v="16"/>
    <x v="0"/>
    <n v="4"/>
    <n v="80"/>
    <x v="1"/>
    <n v="17"/>
    <x v="2"/>
    <x v="2"/>
    <n v="15"/>
    <n v="7"/>
    <x v="7"/>
    <n v="13"/>
  </r>
  <r>
    <n v="48"/>
    <x v="1"/>
    <x v="0"/>
    <n v="855"/>
    <x v="1"/>
    <x v="18"/>
    <x v="3"/>
    <s v="Life Sciences"/>
    <n v="1"/>
    <n v="1363"/>
    <n v="4"/>
    <x v="1"/>
    <n v="54"/>
    <x v="0"/>
    <n v="3"/>
    <x v="3"/>
    <n v="4"/>
    <x v="0"/>
    <n v="7898"/>
    <n v="18706"/>
    <n v="1"/>
    <s v="Y"/>
    <x v="1"/>
    <n v="11"/>
    <x v="0"/>
    <n v="3"/>
    <n v="80"/>
    <x v="0"/>
    <n v="11"/>
    <x v="2"/>
    <x v="1"/>
    <n v="10"/>
    <n v="9"/>
    <x v="0"/>
    <n v="8"/>
  </r>
  <r>
    <n v="27"/>
    <x v="1"/>
    <x v="0"/>
    <n v="1291"/>
    <x v="0"/>
    <x v="13"/>
    <x v="3"/>
    <s v="Medical"/>
    <n v="1"/>
    <n v="1364"/>
    <n v="3"/>
    <x v="0"/>
    <n v="98"/>
    <x v="2"/>
    <n v="1"/>
    <x v="6"/>
    <n v="4"/>
    <x v="1"/>
    <n v="2534"/>
    <n v="6527"/>
    <n v="8"/>
    <s v="Y"/>
    <x v="1"/>
    <n v="14"/>
    <x v="0"/>
    <n v="2"/>
    <n v="80"/>
    <x v="1"/>
    <n v="5"/>
    <x v="5"/>
    <x v="1"/>
    <n v="1"/>
    <n v="0"/>
    <x v="0"/>
    <n v="0"/>
  </r>
  <r>
    <n v="51"/>
    <x v="1"/>
    <x v="0"/>
    <n v="1405"/>
    <x v="1"/>
    <x v="13"/>
    <x v="0"/>
    <s v="Technical Degree"/>
    <n v="1"/>
    <n v="1367"/>
    <n v="4"/>
    <x v="0"/>
    <n v="82"/>
    <x v="1"/>
    <n v="4"/>
    <x v="3"/>
    <n v="2"/>
    <x v="0"/>
    <n v="13142"/>
    <n v="24439"/>
    <n v="3"/>
    <s v="Y"/>
    <x v="1"/>
    <n v="16"/>
    <x v="0"/>
    <n v="2"/>
    <n v="80"/>
    <x v="0"/>
    <n v="29"/>
    <x v="4"/>
    <x v="2"/>
    <n v="5"/>
    <n v="2"/>
    <x v="0"/>
    <n v="3"/>
  </r>
  <r>
    <n v="18"/>
    <x v="1"/>
    <x v="2"/>
    <n v="1124"/>
    <x v="1"/>
    <x v="0"/>
    <x v="3"/>
    <s v="Life Sciences"/>
    <n v="1"/>
    <n v="1368"/>
    <n v="4"/>
    <x v="0"/>
    <n v="97"/>
    <x v="0"/>
    <n v="1"/>
    <x v="2"/>
    <n v="4"/>
    <x v="0"/>
    <n v="1611"/>
    <n v="19305"/>
    <n v="1"/>
    <s v="Y"/>
    <x v="1"/>
    <n v="15"/>
    <x v="0"/>
    <n v="3"/>
    <n v="80"/>
    <x v="0"/>
    <n v="0"/>
    <x v="3"/>
    <x v="3"/>
    <n v="0"/>
    <n v="0"/>
    <x v="0"/>
    <n v="0"/>
  </r>
  <r>
    <n v="35"/>
    <x v="1"/>
    <x v="0"/>
    <n v="817"/>
    <x v="1"/>
    <x v="0"/>
    <x v="3"/>
    <s v="Medical"/>
    <n v="1"/>
    <n v="1369"/>
    <n v="4"/>
    <x v="0"/>
    <n v="60"/>
    <x v="1"/>
    <n v="2"/>
    <x v="2"/>
    <n v="4"/>
    <x v="1"/>
    <n v="5363"/>
    <n v="10846"/>
    <n v="0"/>
    <s v="Y"/>
    <x v="1"/>
    <n v="12"/>
    <x v="0"/>
    <n v="2"/>
    <n v="80"/>
    <x v="1"/>
    <n v="10"/>
    <x v="0"/>
    <x v="1"/>
    <n v="9"/>
    <n v="7"/>
    <x v="0"/>
    <n v="0"/>
  </r>
  <r>
    <n v="27"/>
    <x v="1"/>
    <x v="1"/>
    <n v="793"/>
    <x v="0"/>
    <x v="2"/>
    <x v="1"/>
    <s v="Life Sciences"/>
    <n v="1"/>
    <n v="1371"/>
    <n v="4"/>
    <x v="1"/>
    <n v="43"/>
    <x v="3"/>
    <n v="2"/>
    <x v="0"/>
    <n v="4"/>
    <x v="0"/>
    <n v="5071"/>
    <n v="20392"/>
    <n v="3"/>
    <s v="Y"/>
    <x v="1"/>
    <n v="20"/>
    <x v="1"/>
    <n v="2"/>
    <n v="80"/>
    <x v="0"/>
    <n v="8"/>
    <x v="1"/>
    <x v="1"/>
    <n v="6"/>
    <n v="2"/>
    <x v="0"/>
    <n v="0"/>
  </r>
  <r>
    <n v="55"/>
    <x v="0"/>
    <x v="0"/>
    <n v="267"/>
    <x v="0"/>
    <x v="28"/>
    <x v="2"/>
    <s v="Marketing"/>
    <n v="1"/>
    <n v="1372"/>
    <n v="1"/>
    <x v="1"/>
    <n v="85"/>
    <x v="2"/>
    <n v="4"/>
    <x v="0"/>
    <n v="3"/>
    <x v="0"/>
    <n v="13695"/>
    <n v="9277"/>
    <n v="6"/>
    <s v="Y"/>
    <x v="0"/>
    <n v="17"/>
    <x v="0"/>
    <n v="3"/>
    <n v="80"/>
    <x v="0"/>
    <n v="24"/>
    <x v="2"/>
    <x v="2"/>
    <n v="19"/>
    <n v="7"/>
    <x v="2"/>
    <n v="8"/>
  </r>
  <r>
    <n v="56"/>
    <x v="1"/>
    <x v="0"/>
    <n v="1369"/>
    <x v="1"/>
    <x v="5"/>
    <x v="3"/>
    <s v="Life Sciences"/>
    <n v="1"/>
    <n v="1373"/>
    <n v="4"/>
    <x v="1"/>
    <n v="68"/>
    <x v="0"/>
    <n v="4"/>
    <x v="3"/>
    <n v="2"/>
    <x v="1"/>
    <n v="13402"/>
    <n v="18235"/>
    <n v="4"/>
    <s v="Y"/>
    <x v="0"/>
    <n v="12"/>
    <x v="0"/>
    <n v="1"/>
    <n v="80"/>
    <x v="1"/>
    <n v="33"/>
    <x v="0"/>
    <x v="1"/>
    <n v="19"/>
    <n v="16"/>
    <x v="9"/>
    <n v="9"/>
  </r>
  <r>
    <n v="34"/>
    <x v="1"/>
    <x v="2"/>
    <n v="999"/>
    <x v="1"/>
    <x v="9"/>
    <x v="1"/>
    <s v="Technical Degree"/>
    <n v="1"/>
    <n v="1374"/>
    <n v="1"/>
    <x v="0"/>
    <n v="92"/>
    <x v="1"/>
    <n v="1"/>
    <x v="1"/>
    <n v="3"/>
    <x v="2"/>
    <n v="2029"/>
    <n v="15891"/>
    <n v="1"/>
    <s v="Y"/>
    <x v="1"/>
    <n v="20"/>
    <x v="1"/>
    <n v="3"/>
    <n v="80"/>
    <x v="2"/>
    <n v="5"/>
    <x v="2"/>
    <x v="1"/>
    <n v="5"/>
    <n v="4"/>
    <x v="0"/>
    <n v="0"/>
  </r>
  <r>
    <n v="40"/>
    <x v="1"/>
    <x v="0"/>
    <n v="1202"/>
    <x v="1"/>
    <x v="2"/>
    <x v="1"/>
    <s v="Medical"/>
    <n v="1"/>
    <n v="1375"/>
    <n v="2"/>
    <x v="0"/>
    <n v="89"/>
    <x v="2"/>
    <n v="2"/>
    <x v="4"/>
    <n v="3"/>
    <x v="2"/>
    <n v="6377"/>
    <n v="13888"/>
    <n v="5"/>
    <s v="Y"/>
    <x v="1"/>
    <n v="20"/>
    <x v="1"/>
    <n v="2"/>
    <n v="80"/>
    <x v="2"/>
    <n v="15"/>
    <x v="0"/>
    <x v="1"/>
    <n v="12"/>
    <n v="11"/>
    <x v="14"/>
    <n v="8"/>
  </r>
  <r>
    <n v="34"/>
    <x v="1"/>
    <x v="0"/>
    <n v="285"/>
    <x v="1"/>
    <x v="22"/>
    <x v="3"/>
    <s v="Medical"/>
    <n v="1"/>
    <n v="1377"/>
    <n v="2"/>
    <x v="1"/>
    <n v="86"/>
    <x v="0"/>
    <n v="2"/>
    <x v="2"/>
    <n v="3"/>
    <x v="1"/>
    <n v="5429"/>
    <n v="17491"/>
    <n v="4"/>
    <s v="Y"/>
    <x v="1"/>
    <n v="13"/>
    <x v="0"/>
    <n v="1"/>
    <n v="80"/>
    <x v="3"/>
    <n v="10"/>
    <x v="4"/>
    <x v="1"/>
    <n v="8"/>
    <n v="7"/>
    <x v="4"/>
    <n v="7"/>
  </r>
  <r>
    <n v="31"/>
    <x v="0"/>
    <x v="1"/>
    <n v="703"/>
    <x v="0"/>
    <x v="2"/>
    <x v="3"/>
    <s v="Life Sciences"/>
    <n v="1"/>
    <n v="1379"/>
    <n v="3"/>
    <x v="0"/>
    <n v="90"/>
    <x v="1"/>
    <n v="1"/>
    <x v="6"/>
    <n v="4"/>
    <x v="0"/>
    <n v="2785"/>
    <n v="11882"/>
    <n v="7"/>
    <s v="Y"/>
    <x v="1"/>
    <n v="14"/>
    <x v="0"/>
    <n v="3"/>
    <n v="80"/>
    <x v="0"/>
    <n v="3"/>
    <x v="1"/>
    <x v="3"/>
    <n v="1"/>
    <n v="0"/>
    <x v="0"/>
    <n v="0"/>
  </r>
  <r>
    <n v="35"/>
    <x v="0"/>
    <x v="1"/>
    <n v="662"/>
    <x v="0"/>
    <x v="21"/>
    <x v="2"/>
    <s v="Marketing"/>
    <n v="1"/>
    <n v="1380"/>
    <n v="4"/>
    <x v="0"/>
    <n v="67"/>
    <x v="0"/>
    <n v="2"/>
    <x v="0"/>
    <n v="3"/>
    <x v="1"/>
    <n v="4614"/>
    <n v="23288"/>
    <n v="0"/>
    <s v="Y"/>
    <x v="0"/>
    <n v="18"/>
    <x v="0"/>
    <n v="3"/>
    <n v="80"/>
    <x v="1"/>
    <n v="5"/>
    <x v="0"/>
    <x v="2"/>
    <n v="4"/>
    <n v="2"/>
    <x v="2"/>
    <n v="2"/>
  </r>
  <r>
    <n v="38"/>
    <x v="1"/>
    <x v="1"/>
    <n v="693"/>
    <x v="1"/>
    <x v="15"/>
    <x v="3"/>
    <s v="Life Sciences"/>
    <n v="1"/>
    <n v="1382"/>
    <n v="4"/>
    <x v="1"/>
    <n v="57"/>
    <x v="2"/>
    <n v="1"/>
    <x v="1"/>
    <n v="3"/>
    <x v="2"/>
    <n v="2610"/>
    <n v="15748"/>
    <n v="1"/>
    <s v="Y"/>
    <x v="1"/>
    <n v="11"/>
    <x v="0"/>
    <n v="4"/>
    <n v="80"/>
    <x v="2"/>
    <n v="4"/>
    <x v="2"/>
    <x v="1"/>
    <n v="4"/>
    <n v="2"/>
    <x v="0"/>
    <n v="3"/>
  </r>
  <r>
    <n v="34"/>
    <x v="1"/>
    <x v="0"/>
    <n v="404"/>
    <x v="1"/>
    <x v="2"/>
    <x v="2"/>
    <s v="Technical Degree"/>
    <n v="1"/>
    <n v="1383"/>
    <n v="3"/>
    <x v="0"/>
    <n v="98"/>
    <x v="0"/>
    <n v="2"/>
    <x v="4"/>
    <n v="4"/>
    <x v="0"/>
    <n v="6687"/>
    <n v="6163"/>
    <n v="1"/>
    <s v="Y"/>
    <x v="1"/>
    <n v="11"/>
    <x v="0"/>
    <n v="4"/>
    <n v="80"/>
    <x v="0"/>
    <n v="14"/>
    <x v="2"/>
    <x v="3"/>
    <n v="14"/>
    <n v="11"/>
    <x v="5"/>
    <n v="11"/>
  </r>
  <r>
    <n v="28"/>
    <x v="1"/>
    <x v="0"/>
    <n v="736"/>
    <x v="0"/>
    <x v="9"/>
    <x v="3"/>
    <s v="Life Sciences"/>
    <n v="1"/>
    <n v="1387"/>
    <n v="3"/>
    <x v="1"/>
    <n v="48"/>
    <x v="1"/>
    <n v="2"/>
    <x v="0"/>
    <n v="1"/>
    <x v="1"/>
    <n v="4724"/>
    <n v="24232"/>
    <n v="1"/>
    <s v="Y"/>
    <x v="1"/>
    <n v="11"/>
    <x v="0"/>
    <n v="3"/>
    <n v="80"/>
    <x v="1"/>
    <n v="5"/>
    <x v="0"/>
    <x v="1"/>
    <n v="5"/>
    <n v="3"/>
    <x v="0"/>
    <n v="4"/>
  </r>
  <r>
    <n v="31"/>
    <x v="0"/>
    <x v="0"/>
    <n v="330"/>
    <x v="1"/>
    <x v="23"/>
    <x v="2"/>
    <s v="Medical"/>
    <n v="1"/>
    <n v="1389"/>
    <n v="4"/>
    <x v="1"/>
    <n v="98"/>
    <x v="0"/>
    <n v="2"/>
    <x v="3"/>
    <n v="3"/>
    <x v="1"/>
    <n v="6179"/>
    <n v="21057"/>
    <n v="1"/>
    <s v="Y"/>
    <x v="0"/>
    <n v="15"/>
    <x v="0"/>
    <n v="4"/>
    <n v="80"/>
    <x v="3"/>
    <n v="10"/>
    <x v="1"/>
    <x v="2"/>
    <n v="10"/>
    <n v="2"/>
    <x v="7"/>
    <n v="7"/>
  </r>
  <r>
    <n v="39"/>
    <x v="1"/>
    <x v="0"/>
    <n v="1498"/>
    <x v="0"/>
    <x v="11"/>
    <x v="2"/>
    <s v="Life Sciences"/>
    <n v="1"/>
    <n v="1390"/>
    <n v="1"/>
    <x v="1"/>
    <n v="44"/>
    <x v="1"/>
    <n v="2"/>
    <x v="0"/>
    <n v="4"/>
    <x v="1"/>
    <n v="6120"/>
    <n v="3567"/>
    <n v="3"/>
    <s v="Y"/>
    <x v="0"/>
    <n v="12"/>
    <x v="0"/>
    <n v="4"/>
    <n v="80"/>
    <x v="3"/>
    <n v="8"/>
    <x v="2"/>
    <x v="3"/>
    <n v="5"/>
    <n v="4"/>
    <x v="1"/>
    <n v="4"/>
  </r>
  <r>
    <n v="51"/>
    <x v="1"/>
    <x v="1"/>
    <n v="541"/>
    <x v="0"/>
    <x v="2"/>
    <x v="3"/>
    <s v="Marketing"/>
    <n v="1"/>
    <n v="1391"/>
    <n v="2"/>
    <x v="1"/>
    <n v="52"/>
    <x v="0"/>
    <n v="3"/>
    <x v="0"/>
    <n v="2"/>
    <x v="1"/>
    <n v="10596"/>
    <n v="15395"/>
    <n v="2"/>
    <s v="Y"/>
    <x v="1"/>
    <n v="11"/>
    <x v="0"/>
    <n v="2"/>
    <n v="80"/>
    <x v="0"/>
    <n v="14"/>
    <x v="3"/>
    <x v="1"/>
    <n v="4"/>
    <n v="2"/>
    <x v="2"/>
    <n v="2"/>
  </r>
  <r>
    <n v="41"/>
    <x v="1"/>
    <x v="1"/>
    <n v="1200"/>
    <x v="1"/>
    <x v="23"/>
    <x v="3"/>
    <s v="Life Sciences"/>
    <n v="1"/>
    <n v="1392"/>
    <n v="4"/>
    <x v="0"/>
    <n v="75"/>
    <x v="0"/>
    <n v="2"/>
    <x v="1"/>
    <n v="4"/>
    <x v="2"/>
    <n v="5467"/>
    <n v="13953"/>
    <n v="3"/>
    <s v="Y"/>
    <x v="0"/>
    <n v="14"/>
    <x v="0"/>
    <n v="1"/>
    <n v="80"/>
    <x v="3"/>
    <n v="12"/>
    <x v="5"/>
    <x v="2"/>
    <n v="6"/>
    <n v="2"/>
    <x v="2"/>
    <n v="3"/>
  </r>
  <r>
    <n v="37"/>
    <x v="1"/>
    <x v="0"/>
    <n v="1439"/>
    <x v="1"/>
    <x v="18"/>
    <x v="1"/>
    <s v="Life Sciences"/>
    <n v="1"/>
    <n v="1394"/>
    <n v="3"/>
    <x v="1"/>
    <n v="54"/>
    <x v="0"/>
    <n v="1"/>
    <x v="1"/>
    <n v="3"/>
    <x v="1"/>
    <n v="2996"/>
    <n v="5182"/>
    <n v="7"/>
    <s v="Y"/>
    <x v="0"/>
    <n v="15"/>
    <x v="0"/>
    <n v="4"/>
    <n v="80"/>
    <x v="0"/>
    <n v="8"/>
    <x v="2"/>
    <x v="1"/>
    <n v="6"/>
    <n v="4"/>
    <x v="1"/>
    <n v="3"/>
  </r>
  <r>
    <n v="33"/>
    <x v="1"/>
    <x v="1"/>
    <n v="1111"/>
    <x v="0"/>
    <x v="12"/>
    <x v="1"/>
    <s v="Life Sciences"/>
    <n v="1"/>
    <n v="1395"/>
    <n v="2"/>
    <x v="1"/>
    <n v="61"/>
    <x v="0"/>
    <n v="2"/>
    <x v="0"/>
    <n v="4"/>
    <x v="1"/>
    <n v="9998"/>
    <n v="19293"/>
    <n v="6"/>
    <s v="Y"/>
    <x v="1"/>
    <n v="13"/>
    <x v="0"/>
    <n v="1"/>
    <n v="80"/>
    <x v="0"/>
    <n v="8"/>
    <x v="2"/>
    <x v="3"/>
    <n v="5"/>
    <n v="4"/>
    <x v="1"/>
    <n v="2"/>
  </r>
  <r>
    <n v="32"/>
    <x v="1"/>
    <x v="0"/>
    <n v="499"/>
    <x v="0"/>
    <x v="2"/>
    <x v="1"/>
    <s v="Marketing"/>
    <n v="1"/>
    <n v="1396"/>
    <n v="3"/>
    <x v="1"/>
    <n v="36"/>
    <x v="0"/>
    <n v="2"/>
    <x v="0"/>
    <n v="2"/>
    <x v="1"/>
    <n v="4078"/>
    <n v="20497"/>
    <n v="0"/>
    <s v="Y"/>
    <x v="0"/>
    <n v="13"/>
    <x v="0"/>
    <n v="1"/>
    <n v="80"/>
    <x v="2"/>
    <n v="4"/>
    <x v="1"/>
    <x v="2"/>
    <n v="3"/>
    <n v="2"/>
    <x v="1"/>
    <n v="2"/>
  </r>
  <r>
    <n v="39"/>
    <x v="1"/>
    <x v="2"/>
    <n v="1485"/>
    <x v="1"/>
    <x v="19"/>
    <x v="0"/>
    <s v="Life Sciences"/>
    <n v="1"/>
    <n v="1397"/>
    <n v="3"/>
    <x v="1"/>
    <n v="71"/>
    <x v="0"/>
    <n v="3"/>
    <x v="4"/>
    <n v="3"/>
    <x v="1"/>
    <n v="10920"/>
    <n v="3449"/>
    <n v="3"/>
    <s v="Y"/>
    <x v="1"/>
    <n v="21"/>
    <x v="1"/>
    <n v="2"/>
    <n v="80"/>
    <x v="1"/>
    <n v="13"/>
    <x v="2"/>
    <x v="1"/>
    <n v="6"/>
    <n v="4"/>
    <x v="0"/>
    <n v="5"/>
  </r>
  <r>
    <n v="25"/>
    <x v="1"/>
    <x v="0"/>
    <n v="1372"/>
    <x v="0"/>
    <x v="21"/>
    <x v="1"/>
    <s v="Life Sciences"/>
    <n v="1"/>
    <n v="1399"/>
    <n v="1"/>
    <x v="1"/>
    <n v="93"/>
    <x v="2"/>
    <n v="2"/>
    <x v="0"/>
    <n v="3"/>
    <x v="1"/>
    <n v="6232"/>
    <n v="12477"/>
    <n v="2"/>
    <s v="Y"/>
    <x v="1"/>
    <n v="11"/>
    <x v="0"/>
    <n v="2"/>
    <n v="80"/>
    <x v="0"/>
    <n v="6"/>
    <x v="1"/>
    <x v="2"/>
    <n v="3"/>
    <n v="2"/>
    <x v="1"/>
    <n v="2"/>
  </r>
  <r>
    <n v="52"/>
    <x v="1"/>
    <x v="1"/>
    <n v="322"/>
    <x v="1"/>
    <x v="26"/>
    <x v="0"/>
    <s v="Medical"/>
    <n v="1"/>
    <n v="1401"/>
    <n v="4"/>
    <x v="0"/>
    <n v="59"/>
    <x v="2"/>
    <n v="4"/>
    <x v="3"/>
    <n v="3"/>
    <x v="1"/>
    <n v="13247"/>
    <n v="9731"/>
    <n v="2"/>
    <s v="Y"/>
    <x v="0"/>
    <n v="11"/>
    <x v="0"/>
    <n v="2"/>
    <n v="80"/>
    <x v="1"/>
    <n v="24"/>
    <x v="1"/>
    <x v="2"/>
    <n v="5"/>
    <n v="3"/>
    <x v="0"/>
    <n v="2"/>
  </r>
  <r>
    <n v="43"/>
    <x v="1"/>
    <x v="0"/>
    <n v="930"/>
    <x v="1"/>
    <x v="16"/>
    <x v="3"/>
    <s v="Medical"/>
    <n v="1"/>
    <n v="1402"/>
    <n v="1"/>
    <x v="0"/>
    <n v="73"/>
    <x v="1"/>
    <n v="2"/>
    <x v="1"/>
    <n v="3"/>
    <x v="0"/>
    <n v="4081"/>
    <n v="20003"/>
    <n v="1"/>
    <s v="Y"/>
    <x v="0"/>
    <n v="14"/>
    <x v="0"/>
    <n v="1"/>
    <n v="80"/>
    <x v="0"/>
    <n v="20"/>
    <x v="1"/>
    <x v="0"/>
    <n v="20"/>
    <n v="7"/>
    <x v="1"/>
    <n v="8"/>
  </r>
  <r>
    <n v="27"/>
    <x v="1"/>
    <x v="0"/>
    <n v="205"/>
    <x v="0"/>
    <x v="17"/>
    <x v="3"/>
    <s v="Marketing"/>
    <n v="1"/>
    <n v="1403"/>
    <n v="4"/>
    <x v="0"/>
    <n v="98"/>
    <x v="1"/>
    <n v="2"/>
    <x v="0"/>
    <n v="4"/>
    <x v="1"/>
    <n v="5769"/>
    <n v="7100"/>
    <n v="1"/>
    <s v="Y"/>
    <x v="0"/>
    <n v="11"/>
    <x v="0"/>
    <n v="4"/>
    <n v="80"/>
    <x v="0"/>
    <n v="6"/>
    <x v="1"/>
    <x v="1"/>
    <n v="6"/>
    <n v="2"/>
    <x v="5"/>
    <n v="4"/>
  </r>
  <r>
    <n v="27"/>
    <x v="0"/>
    <x v="0"/>
    <n v="135"/>
    <x v="1"/>
    <x v="27"/>
    <x v="2"/>
    <s v="Life Sciences"/>
    <n v="1"/>
    <n v="1405"/>
    <n v="4"/>
    <x v="0"/>
    <n v="51"/>
    <x v="0"/>
    <n v="1"/>
    <x v="1"/>
    <n v="3"/>
    <x v="0"/>
    <n v="2394"/>
    <n v="25681"/>
    <n v="1"/>
    <s v="Y"/>
    <x v="0"/>
    <n v="13"/>
    <x v="0"/>
    <n v="4"/>
    <n v="80"/>
    <x v="0"/>
    <n v="8"/>
    <x v="2"/>
    <x v="1"/>
    <n v="8"/>
    <n v="2"/>
    <x v="4"/>
    <n v="7"/>
  </r>
  <r>
    <n v="26"/>
    <x v="1"/>
    <x v="0"/>
    <n v="683"/>
    <x v="1"/>
    <x v="2"/>
    <x v="1"/>
    <s v="Medical"/>
    <n v="1"/>
    <n v="1407"/>
    <n v="1"/>
    <x v="1"/>
    <n v="36"/>
    <x v="1"/>
    <n v="1"/>
    <x v="1"/>
    <n v="4"/>
    <x v="0"/>
    <n v="3904"/>
    <n v="4050"/>
    <n v="0"/>
    <s v="Y"/>
    <x v="1"/>
    <n v="12"/>
    <x v="0"/>
    <n v="4"/>
    <n v="80"/>
    <x v="0"/>
    <n v="5"/>
    <x v="2"/>
    <x v="1"/>
    <n v="4"/>
    <n v="3"/>
    <x v="1"/>
    <n v="1"/>
  </r>
  <r>
    <n v="42"/>
    <x v="1"/>
    <x v="0"/>
    <n v="1147"/>
    <x v="2"/>
    <x v="17"/>
    <x v="3"/>
    <s v="Human Resources"/>
    <n v="1"/>
    <n v="1408"/>
    <n v="3"/>
    <x v="0"/>
    <n v="31"/>
    <x v="0"/>
    <n v="4"/>
    <x v="5"/>
    <n v="1"/>
    <x v="1"/>
    <n v="16799"/>
    <n v="16616"/>
    <n v="0"/>
    <s v="Y"/>
    <x v="1"/>
    <n v="14"/>
    <x v="0"/>
    <n v="3"/>
    <n v="80"/>
    <x v="1"/>
    <n v="21"/>
    <x v="3"/>
    <x v="1"/>
    <n v="20"/>
    <n v="7"/>
    <x v="0"/>
    <n v="9"/>
  </r>
  <r>
    <n v="52"/>
    <x v="1"/>
    <x v="0"/>
    <n v="258"/>
    <x v="1"/>
    <x v="1"/>
    <x v="2"/>
    <s v="Other"/>
    <n v="1"/>
    <n v="1409"/>
    <n v="3"/>
    <x v="0"/>
    <n v="54"/>
    <x v="0"/>
    <n v="1"/>
    <x v="2"/>
    <n v="1"/>
    <x v="1"/>
    <n v="2950"/>
    <n v="17363"/>
    <n v="9"/>
    <s v="Y"/>
    <x v="1"/>
    <n v="13"/>
    <x v="0"/>
    <n v="3"/>
    <n v="80"/>
    <x v="0"/>
    <n v="12"/>
    <x v="2"/>
    <x v="0"/>
    <n v="5"/>
    <n v="4"/>
    <x v="0"/>
    <n v="4"/>
  </r>
  <r>
    <n v="37"/>
    <x v="1"/>
    <x v="0"/>
    <n v="1462"/>
    <x v="1"/>
    <x v="13"/>
    <x v="3"/>
    <s v="Medical"/>
    <n v="1"/>
    <n v="1411"/>
    <n v="1"/>
    <x v="0"/>
    <n v="94"/>
    <x v="0"/>
    <n v="1"/>
    <x v="2"/>
    <n v="3"/>
    <x v="0"/>
    <n v="3629"/>
    <n v="19106"/>
    <n v="4"/>
    <s v="Y"/>
    <x v="1"/>
    <n v="18"/>
    <x v="0"/>
    <n v="1"/>
    <n v="80"/>
    <x v="0"/>
    <n v="8"/>
    <x v="6"/>
    <x v="1"/>
    <n v="3"/>
    <n v="2"/>
    <x v="0"/>
    <n v="2"/>
  </r>
  <r>
    <n v="35"/>
    <x v="1"/>
    <x v="1"/>
    <n v="200"/>
    <x v="1"/>
    <x v="21"/>
    <x v="0"/>
    <s v="Life Sciences"/>
    <n v="1"/>
    <n v="1412"/>
    <n v="3"/>
    <x v="1"/>
    <n v="60"/>
    <x v="0"/>
    <n v="3"/>
    <x v="3"/>
    <n v="4"/>
    <x v="0"/>
    <n v="9362"/>
    <n v="19944"/>
    <n v="2"/>
    <s v="Y"/>
    <x v="1"/>
    <n v="11"/>
    <x v="0"/>
    <n v="3"/>
    <n v="80"/>
    <x v="0"/>
    <n v="10"/>
    <x v="2"/>
    <x v="1"/>
    <n v="2"/>
    <n v="2"/>
    <x v="3"/>
    <n v="2"/>
  </r>
  <r>
    <n v="25"/>
    <x v="1"/>
    <x v="0"/>
    <n v="949"/>
    <x v="1"/>
    <x v="0"/>
    <x v="3"/>
    <s v="Technical Degree"/>
    <n v="1"/>
    <n v="1415"/>
    <n v="1"/>
    <x v="1"/>
    <n v="81"/>
    <x v="0"/>
    <n v="1"/>
    <x v="2"/>
    <n v="4"/>
    <x v="1"/>
    <n v="3229"/>
    <n v="4910"/>
    <n v="4"/>
    <s v="Y"/>
    <x v="1"/>
    <n v="11"/>
    <x v="0"/>
    <n v="2"/>
    <n v="80"/>
    <x v="1"/>
    <n v="7"/>
    <x v="2"/>
    <x v="2"/>
    <n v="3"/>
    <n v="2"/>
    <x v="0"/>
    <n v="2"/>
  </r>
  <r>
    <n v="26"/>
    <x v="1"/>
    <x v="0"/>
    <n v="652"/>
    <x v="1"/>
    <x v="15"/>
    <x v="3"/>
    <s v="Other"/>
    <n v="1"/>
    <n v="1417"/>
    <n v="3"/>
    <x v="1"/>
    <n v="100"/>
    <x v="2"/>
    <n v="1"/>
    <x v="2"/>
    <n v="1"/>
    <x v="0"/>
    <n v="3578"/>
    <n v="23577"/>
    <n v="0"/>
    <s v="Y"/>
    <x v="1"/>
    <n v="12"/>
    <x v="0"/>
    <n v="4"/>
    <n v="80"/>
    <x v="0"/>
    <n v="8"/>
    <x v="2"/>
    <x v="1"/>
    <n v="7"/>
    <n v="7"/>
    <x v="0"/>
    <n v="7"/>
  </r>
  <r>
    <n v="29"/>
    <x v="1"/>
    <x v="0"/>
    <n v="332"/>
    <x v="2"/>
    <x v="27"/>
    <x v="3"/>
    <s v="Other"/>
    <n v="1"/>
    <n v="1419"/>
    <n v="2"/>
    <x v="1"/>
    <n v="51"/>
    <x v="1"/>
    <n v="3"/>
    <x v="8"/>
    <n v="1"/>
    <x v="0"/>
    <n v="7988"/>
    <n v="9769"/>
    <n v="1"/>
    <s v="Y"/>
    <x v="1"/>
    <n v="13"/>
    <x v="0"/>
    <n v="1"/>
    <n v="80"/>
    <x v="0"/>
    <n v="10"/>
    <x v="1"/>
    <x v="2"/>
    <n v="10"/>
    <n v="9"/>
    <x v="0"/>
    <n v="9"/>
  </r>
  <r>
    <n v="49"/>
    <x v="0"/>
    <x v="1"/>
    <n v="1475"/>
    <x v="1"/>
    <x v="26"/>
    <x v="0"/>
    <s v="Life Sciences"/>
    <n v="1"/>
    <n v="1420"/>
    <n v="1"/>
    <x v="1"/>
    <n v="97"/>
    <x v="1"/>
    <n v="2"/>
    <x v="2"/>
    <n v="1"/>
    <x v="0"/>
    <n v="4284"/>
    <n v="22710"/>
    <n v="3"/>
    <s v="Y"/>
    <x v="1"/>
    <n v="20"/>
    <x v="1"/>
    <n v="1"/>
    <n v="80"/>
    <x v="0"/>
    <n v="20"/>
    <x v="2"/>
    <x v="1"/>
    <n v="4"/>
    <n v="3"/>
    <x v="1"/>
    <n v="3"/>
  </r>
  <r>
    <n v="29"/>
    <x v="0"/>
    <x v="1"/>
    <n v="337"/>
    <x v="1"/>
    <x v="24"/>
    <x v="1"/>
    <s v="Other"/>
    <n v="1"/>
    <n v="1421"/>
    <n v="3"/>
    <x v="0"/>
    <n v="84"/>
    <x v="0"/>
    <n v="3"/>
    <x v="4"/>
    <n v="4"/>
    <x v="0"/>
    <n v="7553"/>
    <n v="22930"/>
    <n v="0"/>
    <s v="Y"/>
    <x v="0"/>
    <n v="12"/>
    <x v="0"/>
    <n v="1"/>
    <n v="80"/>
    <x v="0"/>
    <n v="9"/>
    <x v="4"/>
    <x v="1"/>
    <n v="8"/>
    <n v="7"/>
    <x v="4"/>
    <n v="7"/>
  </r>
  <r>
    <n v="54"/>
    <x v="1"/>
    <x v="0"/>
    <n v="971"/>
    <x v="1"/>
    <x v="0"/>
    <x v="3"/>
    <s v="Medical"/>
    <n v="1"/>
    <n v="1422"/>
    <n v="4"/>
    <x v="0"/>
    <n v="54"/>
    <x v="0"/>
    <n v="4"/>
    <x v="7"/>
    <n v="4"/>
    <x v="0"/>
    <n v="17328"/>
    <n v="5652"/>
    <n v="6"/>
    <s v="Y"/>
    <x v="1"/>
    <n v="19"/>
    <x v="0"/>
    <n v="4"/>
    <n v="80"/>
    <x v="0"/>
    <n v="29"/>
    <x v="1"/>
    <x v="2"/>
    <n v="20"/>
    <n v="7"/>
    <x v="12"/>
    <n v="7"/>
  </r>
  <r>
    <n v="58"/>
    <x v="1"/>
    <x v="0"/>
    <n v="1055"/>
    <x v="1"/>
    <x v="0"/>
    <x v="3"/>
    <s v="Medical"/>
    <n v="1"/>
    <n v="1423"/>
    <n v="4"/>
    <x v="0"/>
    <n v="76"/>
    <x v="0"/>
    <n v="5"/>
    <x v="7"/>
    <n v="1"/>
    <x v="1"/>
    <n v="19701"/>
    <n v="22456"/>
    <n v="3"/>
    <s v="Y"/>
    <x v="0"/>
    <n v="21"/>
    <x v="1"/>
    <n v="3"/>
    <n v="80"/>
    <x v="1"/>
    <n v="32"/>
    <x v="1"/>
    <x v="1"/>
    <n v="9"/>
    <n v="8"/>
    <x v="1"/>
    <n v="5"/>
  </r>
  <r>
    <n v="55"/>
    <x v="1"/>
    <x v="0"/>
    <n v="1136"/>
    <x v="1"/>
    <x v="0"/>
    <x v="2"/>
    <s v="Medical"/>
    <n v="1"/>
    <n v="1424"/>
    <n v="2"/>
    <x v="1"/>
    <n v="81"/>
    <x v="2"/>
    <n v="4"/>
    <x v="7"/>
    <n v="4"/>
    <x v="2"/>
    <n v="14732"/>
    <n v="12414"/>
    <n v="2"/>
    <s v="Y"/>
    <x v="1"/>
    <n v="13"/>
    <x v="0"/>
    <n v="4"/>
    <n v="80"/>
    <x v="3"/>
    <n v="31"/>
    <x v="5"/>
    <x v="3"/>
    <n v="7"/>
    <n v="7"/>
    <x v="0"/>
    <n v="0"/>
  </r>
  <r>
    <n v="36"/>
    <x v="1"/>
    <x v="0"/>
    <n v="1174"/>
    <x v="0"/>
    <x v="3"/>
    <x v="2"/>
    <s v="Marketing"/>
    <n v="1"/>
    <n v="1425"/>
    <n v="1"/>
    <x v="0"/>
    <n v="99"/>
    <x v="0"/>
    <n v="2"/>
    <x v="0"/>
    <n v="2"/>
    <x v="0"/>
    <n v="9278"/>
    <n v="20763"/>
    <n v="3"/>
    <s v="Y"/>
    <x v="0"/>
    <n v="16"/>
    <x v="0"/>
    <n v="4"/>
    <n v="80"/>
    <x v="0"/>
    <n v="15"/>
    <x v="1"/>
    <x v="1"/>
    <n v="5"/>
    <n v="4"/>
    <x v="0"/>
    <n v="1"/>
  </r>
  <r>
    <n v="31"/>
    <x v="0"/>
    <x v="1"/>
    <n v="667"/>
    <x v="0"/>
    <x v="0"/>
    <x v="2"/>
    <s v="Life Sciences"/>
    <n v="1"/>
    <n v="1427"/>
    <n v="2"/>
    <x v="0"/>
    <n v="50"/>
    <x v="3"/>
    <n v="1"/>
    <x v="6"/>
    <n v="3"/>
    <x v="0"/>
    <n v="1359"/>
    <n v="16154"/>
    <n v="1"/>
    <s v="Y"/>
    <x v="1"/>
    <n v="12"/>
    <x v="0"/>
    <n v="2"/>
    <n v="80"/>
    <x v="0"/>
    <n v="1"/>
    <x v="1"/>
    <x v="1"/>
    <n v="1"/>
    <n v="0"/>
    <x v="0"/>
    <n v="0"/>
  </r>
  <r>
    <n v="30"/>
    <x v="1"/>
    <x v="0"/>
    <n v="855"/>
    <x v="0"/>
    <x v="15"/>
    <x v="2"/>
    <s v="Marketing"/>
    <n v="1"/>
    <n v="1428"/>
    <n v="4"/>
    <x v="0"/>
    <n v="73"/>
    <x v="0"/>
    <n v="2"/>
    <x v="0"/>
    <n v="1"/>
    <x v="2"/>
    <n v="4779"/>
    <n v="12761"/>
    <n v="7"/>
    <s v="Y"/>
    <x v="1"/>
    <n v="14"/>
    <x v="0"/>
    <n v="2"/>
    <n v="80"/>
    <x v="3"/>
    <n v="8"/>
    <x v="1"/>
    <x v="1"/>
    <n v="3"/>
    <n v="2"/>
    <x v="0"/>
    <n v="2"/>
  </r>
  <r>
    <n v="31"/>
    <x v="1"/>
    <x v="0"/>
    <n v="182"/>
    <x v="1"/>
    <x v="1"/>
    <x v="4"/>
    <s v="Life Sciences"/>
    <n v="1"/>
    <n v="1430"/>
    <n v="1"/>
    <x v="0"/>
    <n v="93"/>
    <x v="0"/>
    <n v="4"/>
    <x v="7"/>
    <n v="2"/>
    <x v="0"/>
    <n v="16422"/>
    <n v="8847"/>
    <n v="3"/>
    <s v="Y"/>
    <x v="1"/>
    <n v="11"/>
    <x v="0"/>
    <n v="3"/>
    <n v="80"/>
    <x v="0"/>
    <n v="9"/>
    <x v="1"/>
    <x v="3"/>
    <n v="3"/>
    <n v="2"/>
    <x v="1"/>
    <n v="0"/>
  </r>
  <r>
    <n v="34"/>
    <x v="1"/>
    <x v="1"/>
    <n v="560"/>
    <x v="1"/>
    <x v="0"/>
    <x v="2"/>
    <s v="Other"/>
    <n v="1"/>
    <n v="1431"/>
    <n v="4"/>
    <x v="1"/>
    <n v="91"/>
    <x v="0"/>
    <n v="1"/>
    <x v="1"/>
    <n v="1"/>
    <x v="2"/>
    <n v="2996"/>
    <n v="20284"/>
    <n v="5"/>
    <s v="Y"/>
    <x v="1"/>
    <n v="14"/>
    <x v="0"/>
    <n v="3"/>
    <n v="80"/>
    <x v="3"/>
    <n v="10"/>
    <x v="2"/>
    <x v="1"/>
    <n v="4"/>
    <n v="3"/>
    <x v="1"/>
    <n v="3"/>
  </r>
  <r>
    <n v="31"/>
    <x v="0"/>
    <x v="0"/>
    <n v="202"/>
    <x v="1"/>
    <x v="1"/>
    <x v="3"/>
    <s v="Life Sciences"/>
    <n v="1"/>
    <n v="1433"/>
    <n v="1"/>
    <x v="0"/>
    <n v="34"/>
    <x v="1"/>
    <n v="1"/>
    <x v="1"/>
    <n v="2"/>
    <x v="0"/>
    <n v="1261"/>
    <n v="22262"/>
    <n v="1"/>
    <s v="Y"/>
    <x v="1"/>
    <n v="12"/>
    <x v="0"/>
    <n v="3"/>
    <n v="80"/>
    <x v="0"/>
    <n v="1"/>
    <x v="1"/>
    <x v="3"/>
    <n v="1"/>
    <n v="0"/>
    <x v="0"/>
    <n v="0"/>
  </r>
  <r>
    <n v="27"/>
    <x v="1"/>
    <x v="0"/>
    <n v="1377"/>
    <x v="1"/>
    <x v="13"/>
    <x v="1"/>
    <s v="Life Sciences"/>
    <n v="1"/>
    <n v="1434"/>
    <n v="2"/>
    <x v="1"/>
    <n v="91"/>
    <x v="0"/>
    <n v="1"/>
    <x v="2"/>
    <n v="1"/>
    <x v="1"/>
    <n v="2099"/>
    <n v="7679"/>
    <n v="0"/>
    <s v="Y"/>
    <x v="1"/>
    <n v="14"/>
    <x v="0"/>
    <n v="2"/>
    <n v="80"/>
    <x v="0"/>
    <n v="6"/>
    <x v="1"/>
    <x v="3"/>
    <n v="5"/>
    <n v="0"/>
    <x v="1"/>
    <n v="4"/>
  </r>
  <r>
    <n v="36"/>
    <x v="1"/>
    <x v="0"/>
    <n v="172"/>
    <x v="1"/>
    <x v="18"/>
    <x v="2"/>
    <s v="Life Sciences"/>
    <n v="1"/>
    <n v="1435"/>
    <n v="1"/>
    <x v="1"/>
    <n v="37"/>
    <x v="1"/>
    <n v="2"/>
    <x v="2"/>
    <n v="4"/>
    <x v="0"/>
    <n v="5810"/>
    <n v="22604"/>
    <n v="1"/>
    <s v="Y"/>
    <x v="1"/>
    <n v="16"/>
    <x v="0"/>
    <n v="3"/>
    <n v="80"/>
    <x v="0"/>
    <n v="10"/>
    <x v="2"/>
    <x v="2"/>
    <n v="10"/>
    <n v="4"/>
    <x v="1"/>
    <n v="8"/>
  </r>
  <r>
    <n v="36"/>
    <x v="1"/>
    <x v="0"/>
    <n v="329"/>
    <x v="0"/>
    <x v="7"/>
    <x v="2"/>
    <s v="Marketing"/>
    <n v="1"/>
    <n v="1436"/>
    <n v="3"/>
    <x v="0"/>
    <n v="98"/>
    <x v="1"/>
    <n v="2"/>
    <x v="0"/>
    <n v="1"/>
    <x v="1"/>
    <n v="5647"/>
    <n v="13494"/>
    <n v="4"/>
    <s v="Y"/>
    <x v="1"/>
    <n v="13"/>
    <x v="0"/>
    <n v="1"/>
    <n v="80"/>
    <x v="3"/>
    <n v="11"/>
    <x v="1"/>
    <x v="2"/>
    <n v="3"/>
    <n v="2"/>
    <x v="0"/>
    <n v="2"/>
  </r>
  <r>
    <n v="47"/>
    <x v="1"/>
    <x v="0"/>
    <n v="465"/>
    <x v="1"/>
    <x v="0"/>
    <x v="3"/>
    <s v="Technical Degree"/>
    <n v="1"/>
    <n v="1438"/>
    <n v="1"/>
    <x v="1"/>
    <n v="74"/>
    <x v="0"/>
    <n v="1"/>
    <x v="1"/>
    <n v="4"/>
    <x v="1"/>
    <n v="3420"/>
    <n v="10205"/>
    <n v="7"/>
    <s v="Y"/>
    <x v="1"/>
    <n v="12"/>
    <x v="0"/>
    <n v="3"/>
    <n v="80"/>
    <x v="1"/>
    <n v="17"/>
    <x v="2"/>
    <x v="2"/>
    <n v="6"/>
    <n v="5"/>
    <x v="1"/>
    <n v="2"/>
  </r>
  <r>
    <n v="25"/>
    <x v="0"/>
    <x v="0"/>
    <n v="383"/>
    <x v="0"/>
    <x v="14"/>
    <x v="0"/>
    <s v="Life Sciences"/>
    <n v="1"/>
    <n v="1439"/>
    <n v="1"/>
    <x v="1"/>
    <n v="68"/>
    <x v="1"/>
    <n v="1"/>
    <x v="6"/>
    <n v="1"/>
    <x v="1"/>
    <n v="4400"/>
    <n v="15182"/>
    <n v="3"/>
    <s v="Y"/>
    <x v="1"/>
    <n v="12"/>
    <x v="0"/>
    <n v="1"/>
    <n v="80"/>
    <x v="0"/>
    <n v="6"/>
    <x v="2"/>
    <x v="1"/>
    <n v="3"/>
    <n v="2"/>
    <x v="3"/>
    <n v="2"/>
  </r>
  <r>
    <n v="37"/>
    <x v="1"/>
    <x v="2"/>
    <n v="1413"/>
    <x v="1"/>
    <x v="12"/>
    <x v="0"/>
    <s v="Technical Degree"/>
    <n v="1"/>
    <n v="1440"/>
    <n v="3"/>
    <x v="1"/>
    <n v="84"/>
    <x v="2"/>
    <n v="1"/>
    <x v="2"/>
    <n v="3"/>
    <x v="0"/>
    <n v="3500"/>
    <n v="25470"/>
    <n v="0"/>
    <s v="Y"/>
    <x v="1"/>
    <n v="14"/>
    <x v="0"/>
    <n v="1"/>
    <n v="80"/>
    <x v="0"/>
    <n v="7"/>
    <x v="2"/>
    <x v="0"/>
    <n v="6"/>
    <n v="5"/>
    <x v="1"/>
    <n v="3"/>
  </r>
  <r>
    <n v="56"/>
    <x v="1"/>
    <x v="0"/>
    <n v="1255"/>
    <x v="1"/>
    <x v="0"/>
    <x v="0"/>
    <s v="Life Sciences"/>
    <n v="1"/>
    <n v="1441"/>
    <n v="1"/>
    <x v="0"/>
    <n v="90"/>
    <x v="0"/>
    <n v="1"/>
    <x v="1"/>
    <n v="1"/>
    <x v="1"/>
    <n v="2066"/>
    <n v="10494"/>
    <n v="2"/>
    <s v="Y"/>
    <x v="1"/>
    <n v="22"/>
    <x v="1"/>
    <n v="4"/>
    <n v="80"/>
    <x v="1"/>
    <n v="5"/>
    <x v="1"/>
    <x v="3"/>
    <n v="3"/>
    <n v="2"/>
    <x v="1"/>
    <n v="0"/>
  </r>
  <r>
    <n v="47"/>
    <x v="1"/>
    <x v="0"/>
    <n v="359"/>
    <x v="1"/>
    <x v="2"/>
    <x v="2"/>
    <s v="Medical"/>
    <n v="1"/>
    <n v="1443"/>
    <n v="1"/>
    <x v="0"/>
    <n v="82"/>
    <x v="0"/>
    <n v="4"/>
    <x v="7"/>
    <n v="3"/>
    <x v="1"/>
    <n v="17169"/>
    <n v="26703"/>
    <n v="3"/>
    <s v="Y"/>
    <x v="1"/>
    <n v="19"/>
    <x v="0"/>
    <n v="2"/>
    <n v="80"/>
    <x v="3"/>
    <n v="26"/>
    <x v="2"/>
    <x v="3"/>
    <n v="20"/>
    <n v="17"/>
    <x v="8"/>
    <n v="6"/>
  </r>
  <r>
    <n v="24"/>
    <x v="1"/>
    <x v="0"/>
    <n v="1476"/>
    <x v="0"/>
    <x v="18"/>
    <x v="1"/>
    <s v="Medical"/>
    <n v="1"/>
    <n v="1445"/>
    <n v="4"/>
    <x v="0"/>
    <n v="42"/>
    <x v="0"/>
    <n v="2"/>
    <x v="0"/>
    <n v="3"/>
    <x v="1"/>
    <n v="4162"/>
    <n v="15211"/>
    <n v="1"/>
    <s v="Y"/>
    <x v="0"/>
    <n v="12"/>
    <x v="0"/>
    <n v="3"/>
    <n v="80"/>
    <x v="3"/>
    <n v="5"/>
    <x v="1"/>
    <x v="1"/>
    <n v="5"/>
    <n v="4"/>
    <x v="0"/>
    <n v="3"/>
  </r>
  <r>
    <n v="32"/>
    <x v="1"/>
    <x v="0"/>
    <n v="601"/>
    <x v="0"/>
    <x v="15"/>
    <x v="4"/>
    <s v="Marketing"/>
    <n v="1"/>
    <n v="1446"/>
    <n v="4"/>
    <x v="1"/>
    <n v="97"/>
    <x v="0"/>
    <n v="2"/>
    <x v="0"/>
    <n v="4"/>
    <x v="1"/>
    <n v="9204"/>
    <n v="23343"/>
    <n v="4"/>
    <s v="Y"/>
    <x v="1"/>
    <n v="12"/>
    <x v="0"/>
    <n v="3"/>
    <n v="80"/>
    <x v="1"/>
    <n v="7"/>
    <x v="1"/>
    <x v="2"/>
    <n v="4"/>
    <n v="3"/>
    <x v="0"/>
    <n v="3"/>
  </r>
  <r>
    <n v="34"/>
    <x v="1"/>
    <x v="0"/>
    <n v="401"/>
    <x v="1"/>
    <x v="0"/>
    <x v="3"/>
    <s v="Life Sciences"/>
    <n v="1"/>
    <n v="1447"/>
    <n v="4"/>
    <x v="0"/>
    <n v="86"/>
    <x v="1"/>
    <n v="1"/>
    <x v="2"/>
    <n v="2"/>
    <x v="1"/>
    <n v="3294"/>
    <n v="3708"/>
    <n v="5"/>
    <s v="Y"/>
    <x v="1"/>
    <n v="17"/>
    <x v="0"/>
    <n v="1"/>
    <n v="80"/>
    <x v="1"/>
    <n v="7"/>
    <x v="2"/>
    <x v="2"/>
    <n v="5"/>
    <n v="4"/>
    <x v="0"/>
    <n v="2"/>
  </r>
  <r>
    <n v="41"/>
    <x v="1"/>
    <x v="0"/>
    <n v="1283"/>
    <x v="1"/>
    <x v="12"/>
    <x v="4"/>
    <s v="Medical"/>
    <n v="1"/>
    <n v="1448"/>
    <n v="2"/>
    <x v="1"/>
    <n v="90"/>
    <x v="2"/>
    <n v="1"/>
    <x v="1"/>
    <n v="3"/>
    <x v="1"/>
    <n v="2127"/>
    <n v="5561"/>
    <n v="2"/>
    <s v="Y"/>
    <x v="0"/>
    <n v="12"/>
    <x v="0"/>
    <n v="1"/>
    <n v="80"/>
    <x v="0"/>
    <n v="7"/>
    <x v="3"/>
    <x v="2"/>
    <n v="4"/>
    <n v="2"/>
    <x v="0"/>
    <n v="3"/>
  </r>
  <r>
    <n v="40"/>
    <x v="1"/>
    <x v="2"/>
    <n v="663"/>
    <x v="1"/>
    <x v="14"/>
    <x v="2"/>
    <s v="Other"/>
    <n v="1"/>
    <n v="1449"/>
    <n v="3"/>
    <x v="1"/>
    <n v="81"/>
    <x v="0"/>
    <n v="2"/>
    <x v="2"/>
    <n v="3"/>
    <x v="2"/>
    <n v="3975"/>
    <n v="23099"/>
    <n v="3"/>
    <s v="Y"/>
    <x v="1"/>
    <n v="11"/>
    <x v="0"/>
    <n v="3"/>
    <n v="80"/>
    <x v="3"/>
    <n v="11"/>
    <x v="2"/>
    <x v="3"/>
    <n v="8"/>
    <n v="7"/>
    <x v="0"/>
    <n v="7"/>
  </r>
  <r>
    <n v="31"/>
    <x v="1"/>
    <x v="0"/>
    <n v="326"/>
    <x v="0"/>
    <x v="1"/>
    <x v="0"/>
    <s v="Life Sciences"/>
    <n v="1"/>
    <n v="1453"/>
    <n v="1"/>
    <x v="1"/>
    <n v="31"/>
    <x v="0"/>
    <n v="3"/>
    <x v="0"/>
    <n v="4"/>
    <x v="2"/>
    <n v="10793"/>
    <n v="8386"/>
    <n v="1"/>
    <s v="Y"/>
    <x v="1"/>
    <n v="18"/>
    <x v="0"/>
    <n v="1"/>
    <n v="80"/>
    <x v="1"/>
    <n v="13"/>
    <x v="3"/>
    <x v="1"/>
    <n v="13"/>
    <n v="7"/>
    <x v="10"/>
    <n v="9"/>
  </r>
  <r>
    <n v="46"/>
    <x v="0"/>
    <x v="0"/>
    <n v="377"/>
    <x v="0"/>
    <x v="14"/>
    <x v="3"/>
    <s v="Marketing"/>
    <n v="1"/>
    <n v="1457"/>
    <n v="1"/>
    <x v="1"/>
    <n v="52"/>
    <x v="0"/>
    <n v="3"/>
    <x v="0"/>
    <n v="4"/>
    <x v="2"/>
    <n v="10096"/>
    <n v="15986"/>
    <n v="4"/>
    <s v="Y"/>
    <x v="1"/>
    <n v="11"/>
    <x v="0"/>
    <n v="1"/>
    <n v="80"/>
    <x v="1"/>
    <n v="28"/>
    <x v="4"/>
    <x v="3"/>
    <n v="7"/>
    <n v="7"/>
    <x v="5"/>
    <n v="3"/>
  </r>
  <r>
    <n v="39"/>
    <x v="0"/>
    <x v="2"/>
    <n v="592"/>
    <x v="1"/>
    <x v="2"/>
    <x v="3"/>
    <s v="Life Sciences"/>
    <n v="1"/>
    <n v="1458"/>
    <n v="1"/>
    <x v="0"/>
    <n v="54"/>
    <x v="1"/>
    <n v="1"/>
    <x v="2"/>
    <n v="1"/>
    <x v="0"/>
    <n v="3646"/>
    <n v="17181"/>
    <n v="2"/>
    <s v="Y"/>
    <x v="0"/>
    <n v="23"/>
    <x v="1"/>
    <n v="2"/>
    <n v="80"/>
    <x v="0"/>
    <n v="11"/>
    <x v="2"/>
    <x v="3"/>
    <n v="1"/>
    <n v="0"/>
    <x v="0"/>
    <n v="0"/>
  </r>
  <r>
    <n v="31"/>
    <x v="0"/>
    <x v="1"/>
    <n v="1445"/>
    <x v="1"/>
    <x v="0"/>
    <x v="4"/>
    <s v="Life Sciences"/>
    <n v="1"/>
    <n v="1459"/>
    <n v="3"/>
    <x v="0"/>
    <n v="100"/>
    <x v="2"/>
    <n v="3"/>
    <x v="3"/>
    <n v="2"/>
    <x v="0"/>
    <n v="7446"/>
    <n v="8931"/>
    <n v="1"/>
    <s v="Y"/>
    <x v="1"/>
    <n v="11"/>
    <x v="0"/>
    <n v="1"/>
    <n v="80"/>
    <x v="0"/>
    <n v="10"/>
    <x v="2"/>
    <x v="1"/>
    <n v="10"/>
    <n v="8"/>
    <x v="5"/>
    <n v="7"/>
  </r>
  <r>
    <n v="45"/>
    <x v="1"/>
    <x v="0"/>
    <n v="1038"/>
    <x v="1"/>
    <x v="25"/>
    <x v="3"/>
    <s v="Medical"/>
    <n v="1"/>
    <n v="1460"/>
    <n v="2"/>
    <x v="1"/>
    <n v="95"/>
    <x v="3"/>
    <n v="3"/>
    <x v="4"/>
    <n v="1"/>
    <x v="2"/>
    <n v="10851"/>
    <n v="19863"/>
    <n v="2"/>
    <s v="Y"/>
    <x v="0"/>
    <n v="18"/>
    <x v="0"/>
    <n v="2"/>
    <n v="80"/>
    <x v="1"/>
    <n v="24"/>
    <x v="2"/>
    <x v="1"/>
    <n v="7"/>
    <n v="7"/>
    <x v="0"/>
    <n v="7"/>
  </r>
  <r>
    <n v="31"/>
    <x v="1"/>
    <x v="0"/>
    <n v="1398"/>
    <x v="2"/>
    <x v="1"/>
    <x v="0"/>
    <s v="Medical"/>
    <n v="1"/>
    <n v="1461"/>
    <n v="4"/>
    <x v="0"/>
    <n v="96"/>
    <x v="2"/>
    <n v="1"/>
    <x v="8"/>
    <n v="2"/>
    <x v="0"/>
    <n v="2109"/>
    <n v="24609"/>
    <n v="9"/>
    <s v="Y"/>
    <x v="1"/>
    <n v="18"/>
    <x v="0"/>
    <n v="4"/>
    <n v="80"/>
    <x v="0"/>
    <n v="8"/>
    <x v="1"/>
    <x v="1"/>
    <n v="3"/>
    <n v="2"/>
    <x v="0"/>
    <n v="2"/>
  </r>
  <r>
    <n v="31"/>
    <x v="0"/>
    <x v="1"/>
    <n v="523"/>
    <x v="1"/>
    <x v="2"/>
    <x v="3"/>
    <s v="Life Sciences"/>
    <n v="1"/>
    <n v="1464"/>
    <n v="2"/>
    <x v="1"/>
    <n v="94"/>
    <x v="0"/>
    <n v="1"/>
    <x v="2"/>
    <n v="4"/>
    <x v="1"/>
    <n v="3722"/>
    <n v="21081"/>
    <n v="6"/>
    <s v="Y"/>
    <x v="0"/>
    <n v="13"/>
    <x v="0"/>
    <n v="3"/>
    <n v="80"/>
    <x v="1"/>
    <n v="7"/>
    <x v="2"/>
    <x v="0"/>
    <n v="2"/>
    <n v="2"/>
    <x v="3"/>
    <n v="2"/>
  </r>
  <r>
    <n v="45"/>
    <x v="1"/>
    <x v="0"/>
    <n v="1448"/>
    <x v="1"/>
    <x v="22"/>
    <x v="3"/>
    <s v="Technical Degree"/>
    <n v="1"/>
    <n v="1465"/>
    <n v="2"/>
    <x v="1"/>
    <n v="55"/>
    <x v="0"/>
    <n v="3"/>
    <x v="3"/>
    <n v="4"/>
    <x v="1"/>
    <n v="9380"/>
    <n v="14720"/>
    <n v="4"/>
    <s v="Y"/>
    <x v="0"/>
    <n v="18"/>
    <x v="0"/>
    <n v="4"/>
    <n v="80"/>
    <x v="3"/>
    <n v="10"/>
    <x v="5"/>
    <x v="3"/>
    <n v="3"/>
    <n v="1"/>
    <x v="1"/>
    <n v="2"/>
  </r>
  <r>
    <n v="48"/>
    <x v="1"/>
    <x v="0"/>
    <n v="1221"/>
    <x v="0"/>
    <x v="15"/>
    <x v="3"/>
    <s v="Marketing"/>
    <n v="1"/>
    <n v="1466"/>
    <n v="3"/>
    <x v="1"/>
    <n v="96"/>
    <x v="0"/>
    <n v="2"/>
    <x v="0"/>
    <n v="1"/>
    <x v="2"/>
    <n v="5486"/>
    <n v="24795"/>
    <n v="4"/>
    <s v="Y"/>
    <x v="1"/>
    <n v="11"/>
    <x v="0"/>
    <n v="1"/>
    <n v="80"/>
    <x v="2"/>
    <n v="15"/>
    <x v="1"/>
    <x v="1"/>
    <n v="2"/>
    <n v="2"/>
    <x v="3"/>
    <n v="2"/>
  </r>
  <r>
    <n v="34"/>
    <x v="0"/>
    <x v="0"/>
    <n v="1107"/>
    <x v="2"/>
    <x v="14"/>
    <x v="2"/>
    <s v="Technical Degree"/>
    <n v="1"/>
    <n v="1467"/>
    <n v="1"/>
    <x v="0"/>
    <n v="52"/>
    <x v="0"/>
    <n v="1"/>
    <x v="8"/>
    <n v="3"/>
    <x v="1"/>
    <n v="2742"/>
    <n v="3072"/>
    <n v="1"/>
    <s v="Y"/>
    <x v="1"/>
    <n v="15"/>
    <x v="0"/>
    <n v="4"/>
    <n v="80"/>
    <x v="0"/>
    <n v="2"/>
    <x v="0"/>
    <x v="1"/>
    <n v="2"/>
    <n v="2"/>
    <x v="3"/>
    <n v="2"/>
  </r>
  <r>
    <n v="40"/>
    <x v="1"/>
    <x v="2"/>
    <n v="218"/>
    <x v="1"/>
    <x v="1"/>
    <x v="1"/>
    <s v="Medical"/>
    <n v="1"/>
    <n v="1468"/>
    <n v="4"/>
    <x v="1"/>
    <n v="55"/>
    <x v="1"/>
    <n v="3"/>
    <x v="7"/>
    <n v="2"/>
    <x v="2"/>
    <n v="13757"/>
    <n v="25178"/>
    <n v="2"/>
    <s v="Y"/>
    <x v="1"/>
    <n v="11"/>
    <x v="0"/>
    <n v="3"/>
    <n v="80"/>
    <x v="1"/>
    <n v="16"/>
    <x v="3"/>
    <x v="1"/>
    <n v="9"/>
    <n v="8"/>
    <x v="5"/>
    <n v="8"/>
  </r>
  <r>
    <n v="28"/>
    <x v="1"/>
    <x v="0"/>
    <n v="866"/>
    <x v="0"/>
    <x v="12"/>
    <x v="3"/>
    <s v="Medical"/>
    <n v="1"/>
    <n v="1469"/>
    <n v="4"/>
    <x v="1"/>
    <n v="84"/>
    <x v="0"/>
    <n v="2"/>
    <x v="0"/>
    <n v="1"/>
    <x v="0"/>
    <n v="8463"/>
    <n v="23490"/>
    <n v="0"/>
    <s v="Y"/>
    <x v="1"/>
    <n v="18"/>
    <x v="0"/>
    <n v="4"/>
    <n v="80"/>
    <x v="0"/>
    <n v="6"/>
    <x v="5"/>
    <x v="1"/>
    <n v="5"/>
    <n v="4"/>
    <x v="1"/>
    <n v="3"/>
  </r>
  <r>
    <n v="44"/>
    <x v="1"/>
    <x v="2"/>
    <n v="981"/>
    <x v="1"/>
    <x v="12"/>
    <x v="3"/>
    <s v="Life Sciences"/>
    <n v="1"/>
    <n v="1471"/>
    <n v="3"/>
    <x v="1"/>
    <n v="90"/>
    <x v="1"/>
    <n v="1"/>
    <x v="2"/>
    <n v="3"/>
    <x v="0"/>
    <n v="3162"/>
    <n v="7973"/>
    <n v="3"/>
    <s v="Y"/>
    <x v="1"/>
    <n v="14"/>
    <x v="0"/>
    <n v="4"/>
    <n v="80"/>
    <x v="0"/>
    <n v="7"/>
    <x v="3"/>
    <x v="1"/>
    <n v="5"/>
    <n v="2"/>
    <x v="0"/>
    <n v="3"/>
  </r>
  <r>
    <n v="53"/>
    <x v="1"/>
    <x v="0"/>
    <n v="447"/>
    <x v="1"/>
    <x v="2"/>
    <x v="3"/>
    <s v="Medical"/>
    <n v="1"/>
    <n v="1472"/>
    <n v="4"/>
    <x v="1"/>
    <n v="39"/>
    <x v="2"/>
    <n v="4"/>
    <x v="7"/>
    <n v="2"/>
    <x v="0"/>
    <n v="16598"/>
    <n v="19764"/>
    <n v="4"/>
    <s v="Y"/>
    <x v="1"/>
    <n v="12"/>
    <x v="0"/>
    <n v="2"/>
    <n v="80"/>
    <x v="0"/>
    <n v="35"/>
    <x v="2"/>
    <x v="2"/>
    <n v="9"/>
    <n v="8"/>
    <x v="6"/>
    <n v="8"/>
  </r>
  <r>
    <n v="49"/>
    <x v="1"/>
    <x v="0"/>
    <n v="1495"/>
    <x v="1"/>
    <x v="12"/>
    <x v="2"/>
    <s v="Technical Degree"/>
    <n v="1"/>
    <n v="1473"/>
    <n v="1"/>
    <x v="1"/>
    <n v="96"/>
    <x v="0"/>
    <n v="2"/>
    <x v="4"/>
    <n v="3"/>
    <x v="1"/>
    <n v="6651"/>
    <n v="21534"/>
    <n v="2"/>
    <s v="Y"/>
    <x v="1"/>
    <n v="14"/>
    <x v="0"/>
    <n v="2"/>
    <n v="80"/>
    <x v="1"/>
    <n v="20"/>
    <x v="0"/>
    <x v="2"/>
    <n v="3"/>
    <n v="2"/>
    <x v="1"/>
    <n v="2"/>
  </r>
  <r>
    <n v="40"/>
    <x v="1"/>
    <x v="0"/>
    <n v="896"/>
    <x v="1"/>
    <x v="2"/>
    <x v="3"/>
    <s v="Medical"/>
    <n v="1"/>
    <n v="1474"/>
    <n v="3"/>
    <x v="1"/>
    <n v="68"/>
    <x v="0"/>
    <n v="1"/>
    <x v="1"/>
    <n v="3"/>
    <x v="2"/>
    <n v="2345"/>
    <n v="8045"/>
    <n v="2"/>
    <s v="Y"/>
    <x v="1"/>
    <n v="14"/>
    <x v="0"/>
    <n v="3"/>
    <n v="80"/>
    <x v="1"/>
    <n v="8"/>
    <x v="1"/>
    <x v="3"/>
    <n v="3"/>
    <n v="1"/>
    <x v="1"/>
    <n v="2"/>
  </r>
  <r>
    <n v="44"/>
    <x v="1"/>
    <x v="0"/>
    <n v="1467"/>
    <x v="1"/>
    <x v="25"/>
    <x v="3"/>
    <s v="Life Sciences"/>
    <n v="1"/>
    <n v="1475"/>
    <n v="4"/>
    <x v="1"/>
    <n v="49"/>
    <x v="0"/>
    <n v="1"/>
    <x v="1"/>
    <n v="2"/>
    <x v="0"/>
    <n v="3420"/>
    <n v="21158"/>
    <n v="1"/>
    <s v="Y"/>
    <x v="1"/>
    <n v="13"/>
    <x v="0"/>
    <n v="3"/>
    <n v="80"/>
    <x v="0"/>
    <n v="6"/>
    <x v="1"/>
    <x v="2"/>
    <n v="5"/>
    <n v="2"/>
    <x v="1"/>
    <n v="3"/>
  </r>
  <r>
    <n v="33"/>
    <x v="1"/>
    <x v="1"/>
    <n v="430"/>
    <x v="0"/>
    <x v="15"/>
    <x v="3"/>
    <s v="Medical"/>
    <n v="1"/>
    <n v="1477"/>
    <n v="4"/>
    <x v="1"/>
    <n v="54"/>
    <x v="0"/>
    <n v="2"/>
    <x v="0"/>
    <n v="1"/>
    <x v="1"/>
    <n v="4373"/>
    <n v="17456"/>
    <n v="0"/>
    <s v="Y"/>
    <x v="1"/>
    <n v="14"/>
    <x v="0"/>
    <n v="1"/>
    <n v="80"/>
    <x v="3"/>
    <n v="5"/>
    <x v="2"/>
    <x v="1"/>
    <n v="4"/>
    <n v="3"/>
    <x v="0"/>
    <n v="3"/>
  </r>
  <r>
    <n v="34"/>
    <x v="1"/>
    <x v="0"/>
    <n v="1326"/>
    <x v="0"/>
    <x v="3"/>
    <x v="3"/>
    <s v="Other"/>
    <n v="1"/>
    <n v="1478"/>
    <n v="4"/>
    <x v="1"/>
    <n v="81"/>
    <x v="3"/>
    <n v="2"/>
    <x v="0"/>
    <n v="1"/>
    <x v="0"/>
    <n v="4759"/>
    <n v="15891"/>
    <n v="3"/>
    <s v="Y"/>
    <x v="1"/>
    <n v="18"/>
    <x v="0"/>
    <n v="4"/>
    <n v="80"/>
    <x v="0"/>
    <n v="15"/>
    <x v="2"/>
    <x v="1"/>
    <n v="13"/>
    <n v="9"/>
    <x v="2"/>
    <n v="12"/>
  </r>
  <r>
    <n v="30"/>
    <x v="1"/>
    <x v="0"/>
    <n v="1358"/>
    <x v="0"/>
    <x v="7"/>
    <x v="1"/>
    <s v="Life Sciences"/>
    <n v="1"/>
    <n v="1479"/>
    <n v="4"/>
    <x v="1"/>
    <n v="96"/>
    <x v="0"/>
    <n v="2"/>
    <x v="0"/>
    <n v="3"/>
    <x v="1"/>
    <n v="5301"/>
    <n v="2939"/>
    <n v="8"/>
    <s v="Y"/>
    <x v="1"/>
    <n v="15"/>
    <x v="0"/>
    <n v="3"/>
    <n v="80"/>
    <x v="3"/>
    <n v="4"/>
    <x v="2"/>
    <x v="2"/>
    <n v="2"/>
    <n v="1"/>
    <x v="3"/>
    <n v="2"/>
  </r>
  <r>
    <n v="42"/>
    <x v="1"/>
    <x v="1"/>
    <n v="748"/>
    <x v="1"/>
    <x v="14"/>
    <x v="0"/>
    <s v="Medical"/>
    <n v="1"/>
    <n v="1480"/>
    <n v="1"/>
    <x v="0"/>
    <n v="74"/>
    <x v="0"/>
    <n v="1"/>
    <x v="2"/>
    <n v="4"/>
    <x v="0"/>
    <n v="3673"/>
    <n v="16458"/>
    <n v="1"/>
    <s v="Y"/>
    <x v="1"/>
    <n v="13"/>
    <x v="0"/>
    <n v="3"/>
    <n v="80"/>
    <x v="0"/>
    <n v="12"/>
    <x v="1"/>
    <x v="1"/>
    <n v="12"/>
    <n v="9"/>
    <x v="8"/>
    <n v="8"/>
  </r>
  <r>
    <n v="44"/>
    <x v="1"/>
    <x v="1"/>
    <n v="383"/>
    <x v="0"/>
    <x v="0"/>
    <x v="4"/>
    <s v="Marketing"/>
    <n v="1"/>
    <n v="1481"/>
    <n v="1"/>
    <x v="0"/>
    <n v="79"/>
    <x v="0"/>
    <n v="2"/>
    <x v="0"/>
    <n v="3"/>
    <x v="1"/>
    <n v="4768"/>
    <n v="9282"/>
    <n v="7"/>
    <s v="Y"/>
    <x v="1"/>
    <n v="12"/>
    <x v="0"/>
    <n v="3"/>
    <n v="80"/>
    <x v="1"/>
    <n v="11"/>
    <x v="5"/>
    <x v="2"/>
    <n v="1"/>
    <n v="0"/>
    <x v="0"/>
    <n v="0"/>
  </r>
  <r>
    <n v="30"/>
    <x v="1"/>
    <x v="2"/>
    <n v="990"/>
    <x v="1"/>
    <x v="15"/>
    <x v="3"/>
    <s v="Technical Degree"/>
    <n v="1"/>
    <n v="1482"/>
    <n v="3"/>
    <x v="1"/>
    <n v="64"/>
    <x v="0"/>
    <n v="1"/>
    <x v="1"/>
    <n v="3"/>
    <x v="2"/>
    <n v="1274"/>
    <n v="7152"/>
    <n v="1"/>
    <s v="Y"/>
    <x v="1"/>
    <n v="13"/>
    <x v="0"/>
    <n v="2"/>
    <n v="80"/>
    <x v="3"/>
    <n v="1"/>
    <x v="2"/>
    <x v="2"/>
    <n v="1"/>
    <n v="0"/>
    <x v="0"/>
    <n v="0"/>
  </r>
  <r>
    <n v="57"/>
    <x v="1"/>
    <x v="0"/>
    <n v="405"/>
    <x v="1"/>
    <x v="0"/>
    <x v="0"/>
    <s v="Life Sciences"/>
    <n v="1"/>
    <n v="1483"/>
    <n v="2"/>
    <x v="1"/>
    <n v="93"/>
    <x v="2"/>
    <n v="2"/>
    <x v="1"/>
    <n v="3"/>
    <x v="1"/>
    <n v="4900"/>
    <n v="2721"/>
    <n v="0"/>
    <s v="Y"/>
    <x v="1"/>
    <n v="24"/>
    <x v="1"/>
    <n v="1"/>
    <n v="80"/>
    <x v="1"/>
    <n v="13"/>
    <x v="2"/>
    <x v="2"/>
    <n v="12"/>
    <n v="9"/>
    <x v="3"/>
    <n v="8"/>
  </r>
  <r>
    <n v="49"/>
    <x v="1"/>
    <x v="0"/>
    <n v="1490"/>
    <x v="1"/>
    <x v="15"/>
    <x v="2"/>
    <s v="Life Sciences"/>
    <n v="1"/>
    <n v="1484"/>
    <n v="3"/>
    <x v="1"/>
    <n v="35"/>
    <x v="0"/>
    <n v="3"/>
    <x v="4"/>
    <n v="2"/>
    <x v="2"/>
    <n v="10466"/>
    <n v="20948"/>
    <n v="3"/>
    <s v="Y"/>
    <x v="1"/>
    <n v="14"/>
    <x v="0"/>
    <n v="2"/>
    <n v="80"/>
    <x v="3"/>
    <n v="29"/>
    <x v="1"/>
    <x v="1"/>
    <n v="8"/>
    <n v="7"/>
    <x v="0"/>
    <n v="7"/>
  </r>
  <r>
    <n v="34"/>
    <x v="1"/>
    <x v="1"/>
    <n v="829"/>
    <x v="1"/>
    <x v="8"/>
    <x v="3"/>
    <s v="Medical"/>
    <n v="1"/>
    <n v="1485"/>
    <n v="2"/>
    <x v="1"/>
    <n v="71"/>
    <x v="0"/>
    <n v="4"/>
    <x v="7"/>
    <n v="1"/>
    <x v="2"/>
    <n v="17007"/>
    <n v="11929"/>
    <n v="7"/>
    <s v="Y"/>
    <x v="1"/>
    <n v="14"/>
    <x v="0"/>
    <n v="4"/>
    <n v="80"/>
    <x v="3"/>
    <n v="16"/>
    <x v="1"/>
    <x v="2"/>
    <n v="14"/>
    <n v="8"/>
    <x v="7"/>
    <n v="9"/>
  </r>
  <r>
    <n v="28"/>
    <x v="0"/>
    <x v="1"/>
    <n v="1496"/>
    <x v="0"/>
    <x v="0"/>
    <x v="3"/>
    <s v="Technical Degree"/>
    <n v="1"/>
    <n v="1486"/>
    <n v="1"/>
    <x v="1"/>
    <n v="92"/>
    <x v="0"/>
    <n v="1"/>
    <x v="6"/>
    <n v="3"/>
    <x v="1"/>
    <n v="2909"/>
    <n v="15747"/>
    <n v="3"/>
    <s v="Y"/>
    <x v="1"/>
    <n v="15"/>
    <x v="0"/>
    <n v="4"/>
    <n v="80"/>
    <x v="1"/>
    <n v="5"/>
    <x v="1"/>
    <x v="3"/>
    <n v="3"/>
    <n v="2"/>
    <x v="1"/>
    <n v="2"/>
  </r>
  <r>
    <n v="29"/>
    <x v="0"/>
    <x v="1"/>
    <n v="115"/>
    <x v="0"/>
    <x v="28"/>
    <x v="3"/>
    <s v="Technical Degree"/>
    <n v="1"/>
    <n v="1487"/>
    <n v="1"/>
    <x v="0"/>
    <n v="51"/>
    <x v="0"/>
    <n v="2"/>
    <x v="0"/>
    <n v="2"/>
    <x v="0"/>
    <n v="5765"/>
    <n v="17485"/>
    <n v="5"/>
    <s v="Y"/>
    <x v="1"/>
    <n v="11"/>
    <x v="0"/>
    <n v="1"/>
    <n v="80"/>
    <x v="0"/>
    <n v="7"/>
    <x v="5"/>
    <x v="0"/>
    <n v="5"/>
    <n v="3"/>
    <x v="0"/>
    <n v="0"/>
  </r>
  <r>
    <n v="34"/>
    <x v="0"/>
    <x v="0"/>
    <n v="790"/>
    <x v="0"/>
    <x v="4"/>
    <x v="2"/>
    <s v="Medical"/>
    <n v="1"/>
    <n v="1489"/>
    <n v="1"/>
    <x v="0"/>
    <n v="40"/>
    <x v="1"/>
    <n v="2"/>
    <x v="0"/>
    <n v="2"/>
    <x v="0"/>
    <n v="4599"/>
    <n v="7815"/>
    <n v="0"/>
    <s v="Y"/>
    <x v="0"/>
    <n v="23"/>
    <x v="1"/>
    <n v="3"/>
    <n v="80"/>
    <x v="0"/>
    <n v="16"/>
    <x v="2"/>
    <x v="3"/>
    <n v="15"/>
    <n v="9"/>
    <x v="13"/>
    <n v="10"/>
  </r>
  <r>
    <n v="35"/>
    <x v="1"/>
    <x v="0"/>
    <n v="660"/>
    <x v="0"/>
    <x v="15"/>
    <x v="1"/>
    <s v="Life Sciences"/>
    <n v="1"/>
    <n v="1492"/>
    <n v="4"/>
    <x v="1"/>
    <n v="76"/>
    <x v="0"/>
    <n v="1"/>
    <x v="6"/>
    <n v="3"/>
    <x v="1"/>
    <n v="2404"/>
    <n v="16192"/>
    <n v="1"/>
    <s v="Y"/>
    <x v="1"/>
    <n v="13"/>
    <x v="0"/>
    <n v="1"/>
    <n v="80"/>
    <x v="1"/>
    <n v="1"/>
    <x v="1"/>
    <x v="1"/>
    <n v="1"/>
    <n v="0"/>
    <x v="0"/>
    <n v="0"/>
  </r>
  <r>
    <n v="24"/>
    <x v="0"/>
    <x v="1"/>
    <n v="381"/>
    <x v="1"/>
    <x v="14"/>
    <x v="3"/>
    <s v="Medical"/>
    <n v="1"/>
    <n v="1494"/>
    <n v="2"/>
    <x v="1"/>
    <n v="89"/>
    <x v="0"/>
    <n v="1"/>
    <x v="2"/>
    <n v="1"/>
    <x v="0"/>
    <n v="3172"/>
    <n v="16998"/>
    <n v="2"/>
    <s v="Y"/>
    <x v="0"/>
    <n v="11"/>
    <x v="0"/>
    <n v="3"/>
    <n v="80"/>
    <x v="0"/>
    <n v="4"/>
    <x v="2"/>
    <x v="2"/>
    <n v="0"/>
    <n v="0"/>
    <x v="0"/>
    <n v="0"/>
  </r>
  <r>
    <n v="24"/>
    <x v="1"/>
    <x v="2"/>
    <n v="830"/>
    <x v="0"/>
    <x v="28"/>
    <x v="0"/>
    <s v="Life Sciences"/>
    <n v="1"/>
    <n v="1495"/>
    <n v="4"/>
    <x v="0"/>
    <n v="78"/>
    <x v="0"/>
    <n v="1"/>
    <x v="6"/>
    <n v="2"/>
    <x v="1"/>
    <n v="2033"/>
    <n v="7103"/>
    <n v="1"/>
    <s v="Y"/>
    <x v="1"/>
    <n v="13"/>
    <x v="0"/>
    <n v="3"/>
    <n v="80"/>
    <x v="1"/>
    <n v="1"/>
    <x v="2"/>
    <x v="1"/>
    <n v="1"/>
    <n v="0"/>
    <x v="0"/>
    <n v="0"/>
  </r>
  <r>
    <n v="44"/>
    <x v="1"/>
    <x v="1"/>
    <n v="1193"/>
    <x v="1"/>
    <x v="2"/>
    <x v="1"/>
    <s v="Medical"/>
    <n v="1"/>
    <n v="1496"/>
    <n v="2"/>
    <x v="1"/>
    <n v="86"/>
    <x v="0"/>
    <n v="3"/>
    <x v="3"/>
    <n v="3"/>
    <x v="0"/>
    <n v="10209"/>
    <n v="19719"/>
    <n v="5"/>
    <s v="Y"/>
    <x v="0"/>
    <n v="18"/>
    <x v="0"/>
    <n v="2"/>
    <n v="80"/>
    <x v="0"/>
    <n v="16"/>
    <x v="2"/>
    <x v="2"/>
    <n v="2"/>
    <n v="2"/>
    <x v="3"/>
    <n v="2"/>
  </r>
  <r>
    <n v="29"/>
    <x v="1"/>
    <x v="0"/>
    <n v="1246"/>
    <x v="0"/>
    <x v="10"/>
    <x v="3"/>
    <s v="Life Sciences"/>
    <n v="1"/>
    <n v="1497"/>
    <n v="3"/>
    <x v="1"/>
    <n v="77"/>
    <x v="1"/>
    <n v="2"/>
    <x v="0"/>
    <n v="3"/>
    <x v="2"/>
    <n v="8620"/>
    <n v="23757"/>
    <n v="1"/>
    <s v="Y"/>
    <x v="1"/>
    <n v="14"/>
    <x v="0"/>
    <n v="3"/>
    <n v="80"/>
    <x v="3"/>
    <n v="10"/>
    <x v="1"/>
    <x v="1"/>
    <n v="10"/>
    <n v="7"/>
    <x v="0"/>
    <n v="4"/>
  </r>
  <r>
    <n v="30"/>
    <x v="1"/>
    <x v="0"/>
    <n v="330"/>
    <x v="2"/>
    <x v="0"/>
    <x v="3"/>
    <s v="Life Sciences"/>
    <n v="1"/>
    <n v="1499"/>
    <n v="3"/>
    <x v="1"/>
    <n v="46"/>
    <x v="0"/>
    <n v="1"/>
    <x v="8"/>
    <n v="3"/>
    <x v="2"/>
    <n v="2064"/>
    <n v="15428"/>
    <n v="0"/>
    <s v="Y"/>
    <x v="1"/>
    <n v="21"/>
    <x v="1"/>
    <n v="1"/>
    <n v="80"/>
    <x v="1"/>
    <n v="6"/>
    <x v="1"/>
    <x v="3"/>
    <n v="5"/>
    <n v="3"/>
    <x v="1"/>
    <n v="3"/>
  </r>
  <r>
    <n v="55"/>
    <x v="1"/>
    <x v="0"/>
    <n v="1229"/>
    <x v="1"/>
    <x v="18"/>
    <x v="2"/>
    <s v="Life Sciences"/>
    <n v="1"/>
    <n v="1501"/>
    <n v="4"/>
    <x v="1"/>
    <n v="30"/>
    <x v="0"/>
    <n v="2"/>
    <x v="4"/>
    <n v="3"/>
    <x v="1"/>
    <n v="4035"/>
    <n v="16143"/>
    <n v="0"/>
    <s v="Y"/>
    <x v="0"/>
    <n v="16"/>
    <x v="0"/>
    <n v="2"/>
    <n v="80"/>
    <x v="0"/>
    <n v="4"/>
    <x v="2"/>
    <x v="1"/>
    <n v="3"/>
    <n v="2"/>
    <x v="1"/>
    <n v="2"/>
  </r>
  <r>
    <n v="33"/>
    <x v="1"/>
    <x v="0"/>
    <n v="1099"/>
    <x v="1"/>
    <x v="18"/>
    <x v="2"/>
    <s v="Medical"/>
    <n v="1"/>
    <n v="1502"/>
    <n v="1"/>
    <x v="0"/>
    <n v="82"/>
    <x v="1"/>
    <n v="1"/>
    <x v="2"/>
    <n v="2"/>
    <x v="1"/>
    <n v="3838"/>
    <n v="8192"/>
    <n v="8"/>
    <s v="Y"/>
    <x v="1"/>
    <n v="11"/>
    <x v="0"/>
    <n v="4"/>
    <n v="80"/>
    <x v="0"/>
    <n v="8"/>
    <x v="3"/>
    <x v="1"/>
    <n v="5"/>
    <n v="4"/>
    <x v="0"/>
    <n v="2"/>
  </r>
  <r>
    <n v="47"/>
    <x v="1"/>
    <x v="0"/>
    <n v="571"/>
    <x v="0"/>
    <x v="24"/>
    <x v="3"/>
    <s v="Medical"/>
    <n v="1"/>
    <n v="1503"/>
    <n v="3"/>
    <x v="0"/>
    <n v="78"/>
    <x v="0"/>
    <n v="2"/>
    <x v="0"/>
    <n v="3"/>
    <x v="1"/>
    <n v="4591"/>
    <n v="24200"/>
    <n v="3"/>
    <s v="Y"/>
    <x v="0"/>
    <n v="17"/>
    <x v="0"/>
    <n v="3"/>
    <n v="80"/>
    <x v="1"/>
    <n v="11"/>
    <x v="5"/>
    <x v="2"/>
    <n v="5"/>
    <n v="4"/>
    <x v="1"/>
    <n v="2"/>
  </r>
  <r>
    <n v="28"/>
    <x v="0"/>
    <x v="1"/>
    <n v="289"/>
    <x v="1"/>
    <x v="2"/>
    <x v="0"/>
    <s v="Medical"/>
    <n v="1"/>
    <n v="1504"/>
    <n v="3"/>
    <x v="1"/>
    <n v="38"/>
    <x v="1"/>
    <n v="1"/>
    <x v="2"/>
    <n v="1"/>
    <x v="0"/>
    <n v="2561"/>
    <n v="5355"/>
    <n v="7"/>
    <s v="Y"/>
    <x v="1"/>
    <n v="11"/>
    <x v="0"/>
    <n v="3"/>
    <n v="80"/>
    <x v="0"/>
    <n v="8"/>
    <x v="2"/>
    <x v="2"/>
    <n v="0"/>
    <n v="0"/>
    <x v="0"/>
    <n v="0"/>
  </r>
  <r>
    <n v="28"/>
    <x v="1"/>
    <x v="0"/>
    <n v="1423"/>
    <x v="1"/>
    <x v="0"/>
    <x v="3"/>
    <s v="Life Sciences"/>
    <n v="1"/>
    <n v="1506"/>
    <n v="1"/>
    <x v="1"/>
    <n v="72"/>
    <x v="1"/>
    <n v="1"/>
    <x v="1"/>
    <n v="3"/>
    <x v="2"/>
    <n v="1563"/>
    <n v="12530"/>
    <n v="1"/>
    <s v="Y"/>
    <x v="1"/>
    <n v="14"/>
    <x v="0"/>
    <n v="4"/>
    <n v="80"/>
    <x v="1"/>
    <n v="1"/>
    <x v="2"/>
    <x v="0"/>
    <n v="1"/>
    <n v="0"/>
    <x v="0"/>
    <n v="0"/>
  </r>
  <r>
    <n v="28"/>
    <x v="1"/>
    <x v="1"/>
    <n v="467"/>
    <x v="0"/>
    <x v="15"/>
    <x v="3"/>
    <s v="Life Sciences"/>
    <n v="1"/>
    <n v="1507"/>
    <n v="3"/>
    <x v="1"/>
    <n v="55"/>
    <x v="0"/>
    <n v="2"/>
    <x v="0"/>
    <n v="1"/>
    <x v="0"/>
    <n v="4898"/>
    <n v="11827"/>
    <n v="0"/>
    <s v="Y"/>
    <x v="1"/>
    <n v="14"/>
    <x v="0"/>
    <n v="4"/>
    <n v="80"/>
    <x v="0"/>
    <n v="5"/>
    <x v="3"/>
    <x v="1"/>
    <n v="4"/>
    <n v="2"/>
    <x v="1"/>
    <n v="3"/>
  </r>
  <r>
    <n v="49"/>
    <x v="1"/>
    <x v="0"/>
    <n v="271"/>
    <x v="1"/>
    <x v="3"/>
    <x v="0"/>
    <s v="Medical"/>
    <n v="1"/>
    <n v="1509"/>
    <n v="3"/>
    <x v="0"/>
    <n v="43"/>
    <x v="1"/>
    <n v="2"/>
    <x v="2"/>
    <n v="1"/>
    <x v="1"/>
    <n v="4789"/>
    <n v="23070"/>
    <n v="4"/>
    <s v="Y"/>
    <x v="1"/>
    <n v="25"/>
    <x v="1"/>
    <n v="1"/>
    <n v="80"/>
    <x v="1"/>
    <n v="10"/>
    <x v="1"/>
    <x v="1"/>
    <n v="3"/>
    <n v="2"/>
    <x v="1"/>
    <n v="2"/>
  </r>
  <r>
    <n v="29"/>
    <x v="1"/>
    <x v="1"/>
    <n v="410"/>
    <x v="1"/>
    <x v="2"/>
    <x v="1"/>
    <s v="Life Sciences"/>
    <n v="1"/>
    <n v="1513"/>
    <n v="4"/>
    <x v="0"/>
    <n v="97"/>
    <x v="0"/>
    <n v="1"/>
    <x v="2"/>
    <n v="2"/>
    <x v="1"/>
    <n v="3180"/>
    <n v="4668"/>
    <n v="0"/>
    <s v="Y"/>
    <x v="1"/>
    <n v="13"/>
    <x v="0"/>
    <n v="3"/>
    <n v="80"/>
    <x v="2"/>
    <n v="4"/>
    <x v="1"/>
    <x v="1"/>
    <n v="3"/>
    <n v="2"/>
    <x v="0"/>
    <n v="2"/>
  </r>
  <r>
    <n v="28"/>
    <x v="1"/>
    <x v="0"/>
    <n v="1083"/>
    <x v="1"/>
    <x v="22"/>
    <x v="1"/>
    <s v="Life Sciences"/>
    <n v="1"/>
    <n v="1514"/>
    <n v="3"/>
    <x v="1"/>
    <n v="96"/>
    <x v="3"/>
    <n v="2"/>
    <x v="3"/>
    <n v="2"/>
    <x v="1"/>
    <n v="6549"/>
    <n v="3173"/>
    <n v="1"/>
    <s v="Y"/>
    <x v="1"/>
    <n v="14"/>
    <x v="0"/>
    <n v="2"/>
    <n v="80"/>
    <x v="3"/>
    <n v="8"/>
    <x v="2"/>
    <x v="2"/>
    <n v="8"/>
    <n v="6"/>
    <x v="1"/>
    <n v="7"/>
  </r>
  <r>
    <n v="33"/>
    <x v="1"/>
    <x v="0"/>
    <n v="516"/>
    <x v="1"/>
    <x v="1"/>
    <x v="4"/>
    <s v="Life Sciences"/>
    <n v="1"/>
    <n v="1515"/>
    <n v="4"/>
    <x v="1"/>
    <n v="69"/>
    <x v="0"/>
    <n v="2"/>
    <x v="4"/>
    <n v="3"/>
    <x v="0"/>
    <n v="6388"/>
    <n v="22049"/>
    <n v="2"/>
    <s v="Y"/>
    <x v="0"/>
    <n v="17"/>
    <x v="0"/>
    <n v="1"/>
    <n v="80"/>
    <x v="0"/>
    <n v="14"/>
    <x v="6"/>
    <x v="1"/>
    <n v="0"/>
    <n v="0"/>
    <x v="0"/>
    <n v="0"/>
  </r>
  <r>
    <n v="32"/>
    <x v="1"/>
    <x v="0"/>
    <n v="495"/>
    <x v="1"/>
    <x v="17"/>
    <x v="3"/>
    <s v="Medical"/>
    <n v="1"/>
    <n v="1516"/>
    <n v="3"/>
    <x v="1"/>
    <n v="64"/>
    <x v="0"/>
    <n v="3"/>
    <x v="5"/>
    <n v="4"/>
    <x v="0"/>
    <n v="11244"/>
    <n v="21072"/>
    <n v="2"/>
    <s v="Y"/>
    <x v="1"/>
    <n v="25"/>
    <x v="1"/>
    <n v="2"/>
    <n v="80"/>
    <x v="0"/>
    <n v="10"/>
    <x v="3"/>
    <x v="3"/>
    <n v="5"/>
    <n v="2"/>
    <x v="0"/>
    <n v="0"/>
  </r>
  <r>
    <n v="54"/>
    <x v="1"/>
    <x v="1"/>
    <n v="1050"/>
    <x v="1"/>
    <x v="13"/>
    <x v="2"/>
    <s v="Medical"/>
    <n v="1"/>
    <n v="1520"/>
    <n v="2"/>
    <x v="0"/>
    <n v="87"/>
    <x v="0"/>
    <n v="4"/>
    <x v="5"/>
    <n v="4"/>
    <x v="2"/>
    <n v="16032"/>
    <n v="24456"/>
    <n v="3"/>
    <s v="Y"/>
    <x v="1"/>
    <n v="20"/>
    <x v="1"/>
    <n v="1"/>
    <n v="80"/>
    <x v="1"/>
    <n v="26"/>
    <x v="2"/>
    <x v="1"/>
    <n v="14"/>
    <n v="9"/>
    <x v="1"/>
    <n v="12"/>
  </r>
  <r>
    <n v="29"/>
    <x v="0"/>
    <x v="0"/>
    <n v="224"/>
    <x v="1"/>
    <x v="0"/>
    <x v="2"/>
    <s v="Technical Degree"/>
    <n v="1"/>
    <n v="1522"/>
    <n v="1"/>
    <x v="1"/>
    <n v="100"/>
    <x v="1"/>
    <n v="1"/>
    <x v="1"/>
    <n v="1"/>
    <x v="0"/>
    <n v="2362"/>
    <n v="7568"/>
    <n v="6"/>
    <s v="Y"/>
    <x v="1"/>
    <n v="13"/>
    <x v="0"/>
    <n v="3"/>
    <n v="80"/>
    <x v="0"/>
    <n v="11"/>
    <x v="2"/>
    <x v="0"/>
    <n v="9"/>
    <n v="7"/>
    <x v="0"/>
    <n v="7"/>
  </r>
  <r>
    <n v="44"/>
    <x v="1"/>
    <x v="0"/>
    <n v="136"/>
    <x v="1"/>
    <x v="26"/>
    <x v="3"/>
    <s v="Life Sciences"/>
    <n v="1"/>
    <n v="1523"/>
    <n v="4"/>
    <x v="1"/>
    <n v="32"/>
    <x v="0"/>
    <n v="4"/>
    <x v="7"/>
    <n v="1"/>
    <x v="1"/>
    <n v="16328"/>
    <n v="22074"/>
    <n v="3"/>
    <s v="Y"/>
    <x v="1"/>
    <n v="13"/>
    <x v="0"/>
    <n v="3"/>
    <n v="80"/>
    <x v="1"/>
    <n v="24"/>
    <x v="4"/>
    <x v="3"/>
    <n v="20"/>
    <n v="6"/>
    <x v="15"/>
    <n v="17"/>
  </r>
  <r>
    <n v="39"/>
    <x v="1"/>
    <x v="0"/>
    <n v="1089"/>
    <x v="1"/>
    <x v="16"/>
    <x v="3"/>
    <s v="Life Sciences"/>
    <n v="1"/>
    <n v="1525"/>
    <n v="2"/>
    <x v="0"/>
    <n v="32"/>
    <x v="0"/>
    <n v="3"/>
    <x v="3"/>
    <n v="2"/>
    <x v="0"/>
    <n v="8376"/>
    <n v="9150"/>
    <n v="4"/>
    <s v="Y"/>
    <x v="1"/>
    <n v="18"/>
    <x v="0"/>
    <n v="4"/>
    <n v="80"/>
    <x v="0"/>
    <n v="9"/>
    <x v="1"/>
    <x v="1"/>
    <n v="2"/>
    <n v="0"/>
    <x v="3"/>
    <n v="2"/>
  </r>
  <r>
    <n v="46"/>
    <x v="1"/>
    <x v="0"/>
    <n v="228"/>
    <x v="0"/>
    <x v="3"/>
    <x v="3"/>
    <s v="Life Sciences"/>
    <n v="1"/>
    <n v="1527"/>
    <n v="3"/>
    <x v="0"/>
    <n v="51"/>
    <x v="0"/>
    <n v="4"/>
    <x v="5"/>
    <n v="2"/>
    <x v="1"/>
    <n v="16606"/>
    <n v="11380"/>
    <n v="8"/>
    <s v="Y"/>
    <x v="1"/>
    <n v="12"/>
    <x v="0"/>
    <n v="4"/>
    <n v="80"/>
    <x v="1"/>
    <n v="23"/>
    <x v="2"/>
    <x v="3"/>
    <n v="13"/>
    <n v="12"/>
    <x v="8"/>
    <n v="1"/>
  </r>
  <r>
    <n v="35"/>
    <x v="1"/>
    <x v="0"/>
    <n v="1029"/>
    <x v="1"/>
    <x v="7"/>
    <x v="3"/>
    <s v="Life Sciences"/>
    <n v="1"/>
    <n v="1529"/>
    <n v="4"/>
    <x v="0"/>
    <n v="91"/>
    <x v="1"/>
    <n v="3"/>
    <x v="4"/>
    <n v="2"/>
    <x v="0"/>
    <n v="8606"/>
    <n v="21195"/>
    <n v="1"/>
    <s v="Y"/>
    <x v="1"/>
    <n v="19"/>
    <x v="0"/>
    <n v="4"/>
    <n v="80"/>
    <x v="0"/>
    <n v="11"/>
    <x v="1"/>
    <x v="0"/>
    <n v="11"/>
    <n v="8"/>
    <x v="2"/>
    <n v="3"/>
  </r>
  <r>
    <n v="23"/>
    <x v="1"/>
    <x v="0"/>
    <n v="507"/>
    <x v="1"/>
    <x v="25"/>
    <x v="1"/>
    <s v="Life Sciences"/>
    <n v="1"/>
    <n v="1533"/>
    <n v="1"/>
    <x v="1"/>
    <n v="97"/>
    <x v="0"/>
    <n v="2"/>
    <x v="2"/>
    <n v="3"/>
    <x v="0"/>
    <n v="2272"/>
    <n v="24812"/>
    <n v="0"/>
    <s v="Y"/>
    <x v="1"/>
    <n v="14"/>
    <x v="0"/>
    <n v="2"/>
    <n v="80"/>
    <x v="0"/>
    <n v="5"/>
    <x v="2"/>
    <x v="1"/>
    <n v="4"/>
    <n v="3"/>
    <x v="1"/>
    <n v="2"/>
  </r>
  <r>
    <n v="40"/>
    <x v="0"/>
    <x v="0"/>
    <n v="676"/>
    <x v="1"/>
    <x v="14"/>
    <x v="2"/>
    <s v="Life Sciences"/>
    <n v="1"/>
    <n v="1534"/>
    <n v="4"/>
    <x v="1"/>
    <n v="86"/>
    <x v="0"/>
    <n v="1"/>
    <x v="2"/>
    <n v="1"/>
    <x v="0"/>
    <n v="2018"/>
    <n v="21831"/>
    <n v="3"/>
    <s v="Y"/>
    <x v="1"/>
    <n v="14"/>
    <x v="0"/>
    <n v="2"/>
    <n v="80"/>
    <x v="0"/>
    <n v="15"/>
    <x v="1"/>
    <x v="0"/>
    <n v="5"/>
    <n v="4"/>
    <x v="1"/>
    <n v="0"/>
  </r>
  <r>
    <n v="34"/>
    <x v="1"/>
    <x v="0"/>
    <n v="971"/>
    <x v="0"/>
    <x v="0"/>
    <x v="3"/>
    <s v="Technical Degree"/>
    <n v="1"/>
    <n v="1535"/>
    <n v="4"/>
    <x v="1"/>
    <n v="64"/>
    <x v="1"/>
    <n v="3"/>
    <x v="0"/>
    <n v="3"/>
    <x v="1"/>
    <n v="7083"/>
    <n v="12288"/>
    <n v="1"/>
    <s v="Y"/>
    <x v="0"/>
    <n v="14"/>
    <x v="0"/>
    <n v="4"/>
    <n v="80"/>
    <x v="0"/>
    <n v="10"/>
    <x v="1"/>
    <x v="1"/>
    <n v="10"/>
    <n v="9"/>
    <x v="6"/>
    <n v="6"/>
  </r>
  <r>
    <n v="31"/>
    <x v="0"/>
    <x v="1"/>
    <n v="561"/>
    <x v="1"/>
    <x v="3"/>
    <x v="3"/>
    <s v="Life Sciences"/>
    <n v="1"/>
    <n v="1537"/>
    <n v="4"/>
    <x v="0"/>
    <n v="33"/>
    <x v="0"/>
    <n v="1"/>
    <x v="1"/>
    <n v="3"/>
    <x v="0"/>
    <n v="4084"/>
    <n v="4156"/>
    <n v="1"/>
    <s v="Y"/>
    <x v="1"/>
    <n v="12"/>
    <x v="0"/>
    <n v="1"/>
    <n v="80"/>
    <x v="0"/>
    <n v="7"/>
    <x v="2"/>
    <x v="0"/>
    <n v="7"/>
    <n v="2"/>
    <x v="4"/>
    <n v="7"/>
  </r>
  <r>
    <n v="50"/>
    <x v="1"/>
    <x v="1"/>
    <n v="333"/>
    <x v="1"/>
    <x v="23"/>
    <x v="4"/>
    <s v="Medical"/>
    <n v="1"/>
    <n v="1539"/>
    <n v="3"/>
    <x v="1"/>
    <n v="88"/>
    <x v="3"/>
    <n v="4"/>
    <x v="7"/>
    <n v="4"/>
    <x v="0"/>
    <n v="14411"/>
    <n v="24450"/>
    <n v="1"/>
    <s v="Y"/>
    <x v="0"/>
    <n v="13"/>
    <x v="0"/>
    <n v="4"/>
    <n v="80"/>
    <x v="0"/>
    <n v="32"/>
    <x v="2"/>
    <x v="1"/>
    <n v="32"/>
    <n v="6"/>
    <x v="11"/>
    <n v="9"/>
  </r>
  <r>
    <n v="34"/>
    <x v="1"/>
    <x v="0"/>
    <n v="1440"/>
    <x v="0"/>
    <x v="15"/>
    <x v="0"/>
    <s v="Technical Degree"/>
    <n v="1"/>
    <n v="1541"/>
    <n v="2"/>
    <x v="1"/>
    <n v="55"/>
    <x v="0"/>
    <n v="1"/>
    <x v="6"/>
    <n v="3"/>
    <x v="1"/>
    <n v="2308"/>
    <n v="4944"/>
    <n v="0"/>
    <s v="Y"/>
    <x v="0"/>
    <n v="25"/>
    <x v="1"/>
    <n v="2"/>
    <n v="80"/>
    <x v="1"/>
    <n v="12"/>
    <x v="5"/>
    <x v="1"/>
    <n v="11"/>
    <n v="10"/>
    <x v="8"/>
    <n v="7"/>
  </r>
  <r>
    <n v="42"/>
    <x v="1"/>
    <x v="0"/>
    <n v="1210"/>
    <x v="1"/>
    <x v="2"/>
    <x v="3"/>
    <s v="Medical"/>
    <n v="1"/>
    <n v="1542"/>
    <n v="3"/>
    <x v="1"/>
    <n v="68"/>
    <x v="1"/>
    <n v="1"/>
    <x v="2"/>
    <n v="2"/>
    <x v="1"/>
    <n v="4841"/>
    <n v="24052"/>
    <n v="4"/>
    <s v="Y"/>
    <x v="1"/>
    <n v="14"/>
    <x v="0"/>
    <n v="2"/>
    <n v="80"/>
    <x v="1"/>
    <n v="4"/>
    <x v="1"/>
    <x v="1"/>
    <n v="1"/>
    <n v="0"/>
    <x v="0"/>
    <n v="0"/>
  </r>
  <r>
    <n v="37"/>
    <x v="1"/>
    <x v="0"/>
    <n v="674"/>
    <x v="1"/>
    <x v="28"/>
    <x v="3"/>
    <s v="Medical"/>
    <n v="1"/>
    <n v="1543"/>
    <n v="1"/>
    <x v="1"/>
    <n v="47"/>
    <x v="0"/>
    <n v="2"/>
    <x v="1"/>
    <n v="4"/>
    <x v="1"/>
    <n v="4285"/>
    <n v="3031"/>
    <n v="1"/>
    <s v="Y"/>
    <x v="1"/>
    <n v="17"/>
    <x v="0"/>
    <n v="1"/>
    <n v="80"/>
    <x v="0"/>
    <n v="10"/>
    <x v="2"/>
    <x v="1"/>
    <n v="10"/>
    <n v="8"/>
    <x v="2"/>
    <n v="7"/>
  </r>
  <r>
    <n v="29"/>
    <x v="1"/>
    <x v="0"/>
    <n v="441"/>
    <x v="1"/>
    <x v="1"/>
    <x v="1"/>
    <s v="Other"/>
    <n v="1"/>
    <n v="1544"/>
    <n v="3"/>
    <x v="0"/>
    <n v="39"/>
    <x v="3"/>
    <n v="2"/>
    <x v="4"/>
    <n v="1"/>
    <x v="1"/>
    <n v="9715"/>
    <n v="7288"/>
    <n v="3"/>
    <s v="Y"/>
    <x v="1"/>
    <n v="13"/>
    <x v="0"/>
    <n v="3"/>
    <n v="80"/>
    <x v="1"/>
    <n v="9"/>
    <x v="1"/>
    <x v="1"/>
    <n v="7"/>
    <n v="7"/>
    <x v="0"/>
    <n v="7"/>
  </r>
  <r>
    <n v="33"/>
    <x v="1"/>
    <x v="0"/>
    <n v="575"/>
    <x v="1"/>
    <x v="19"/>
    <x v="3"/>
    <s v="Life Sciences"/>
    <n v="1"/>
    <n v="1545"/>
    <n v="4"/>
    <x v="1"/>
    <n v="44"/>
    <x v="1"/>
    <n v="2"/>
    <x v="3"/>
    <n v="2"/>
    <x v="0"/>
    <n v="4320"/>
    <n v="24152"/>
    <n v="1"/>
    <s v="Y"/>
    <x v="1"/>
    <n v="13"/>
    <x v="0"/>
    <n v="4"/>
    <n v="80"/>
    <x v="0"/>
    <n v="5"/>
    <x v="2"/>
    <x v="1"/>
    <n v="5"/>
    <n v="3"/>
    <x v="0"/>
    <n v="2"/>
  </r>
  <r>
    <n v="45"/>
    <x v="1"/>
    <x v="0"/>
    <n v="950"/>
    <x v="1"/>
    <x v="26"/>
    <x v="3"/>
    <s v="Technical Degree"/>
    <n v="1"/>
    <n v="1546"/>
    <n v="4"/>
    <x v="1"/>
    <n v="97"/>
    <x v="0"/>
    <n v="1"/>
    <x v="1"/>
    <n v="4"/>
    <x v="1"/>
    <n v="2132"/>
    <n v="4585"/>
    <n v="4"/>
    <s v="Y"/>
    <x v="1"/>
    <n v="20"/>
    <x v="1"/>
    <n v="4"/>
    <n v="80"/>
    <x v="1"/>
    <n v="8"/>
    <x v="1"/>
    <x v="1"/>
    <n v="5"/>
    <n v="4"/>
    <x v="0"/>
    <n v="3"/>
  </r>
  <r>
    <n v="42"/>
    <x v="1"/>
    <x v="1"/>
    <n v="288"/>
    <x v="1"/>
    <x v="2"/>
    <x v="3"/>
    <s v="Life Sciences"/>
    <n v="1"/>
    <n v="1547"/>
    <n v="4"/>
    <x v="1"/>
    <n v="40"/>
    <x v="0"/>
    <n v="3"/>
    <x v="4"/>
    <n v="4"/>
    <x v="1"/>
    <n v="10124"/>
    <n v="18611"/>
    <n v="2"/>
    <s v="Y"/>
    <x v="0"/>
    <n v="14"/>
    <x v="0"/>
    <n v="3"/>
    <n v="80"/>
    <x v="1"/>
    <n v="24"/>
    <x v="1"/>
    <x v="0"/>
    <n v="20"/>
    <n v="8"/>
    <x v="11"/>
    <n v="9"/>
  </r>
  <r>
    <n v="40"/>
    <x v="1"/>
    <x v="0"/>
    <n v="1342"/>
    <x v="0"/>
    <x v="14"/>
    <x v="0"/>
    <s v="Medical"/>
    <n v="1"/>
    <n v="1548"/>
    <n v="1"/>
    <x v="1"/>
    <n v="47"/>
    <x v="0"/>
    <n v="2"/>
    <x v="0"/>
    <n v="1"/>
    <x v="1"/>
    <n v="5473"/>
    <n v="19345"/>
    <n v="0"/>
    <s v="Y"/>
    <x v="1"/>
    <n v="12"/>
    <x v="0"/>
    <n v="4"/>
    <n v="80"/>
    <x v="0"/>
    <n v="9"/>
    <x v="3"/>
    <x v="3"/>
    <n v="8"/>
    <n v="4"/>
    <x v="4"/>
    <n v="1"/>
  </r>
  <r>
    <n v="33"/>
    <x v="1"/>
    <x v="0"/>
    <n v="589"/>
    <x v="1"/>
    <x v="26"/>
    <x v="2"/>
    <s v="Life Sciences"/>
    <n v="1"/>
    <n v="1549"/>
    <n v="2"/>
    <x v="1"/>
    <n v="79"/>
    <x v="0"/>
    <n v="2"/>
    <x v="2"/>
    <n v="3"/>
    <x v="1"/>
    <n v="5207"/>
    <n v="22949"/>
    <n v="1"/>
    <s v="Y"/>
    <x v="0"/>
    <n v="12"/>
    <x v="0"/>
    <n v="2"/>
    <n v="80"/>
    <x v="1"/>
    <n v="15"/>
    <x v="1"/>
    <x v="1"/>
    <n v="15"/>
    <n v="14"/>
    <x v="8"/>
    <n v="7"/>
  </r>
  <r>
    <n v="40"/>
    <x v="1"/>
    <x v="0"/>
    <n v="898"/>
    <x v="2"/>
    <x v="16"/>
    <x v="0"/>
    <s v="Medical"/>
    <n v="1"/>
    <n v="1550"/>
    <n v="3"/>
    <x v="1"/>
    <n v="38"/>
    <x v="0"/>
    <n v="4"/>
    <x v="5"/>
    <n v="4"/>
    <x v="0"/>
    <n v="16437"/>
    <n v="17381"/>
    <n v="1"/>
    <s v="Y"/>
    <x v="0"/>
    <n v="21"/>
    <x v="1"/>
    <n v="4"/>
    <n v="80"/>
    <x v="0"/>
    <n v="21"/>
    <x v="2"/>
    <x v="1"/>
    <n v="21"/>
    <n v="7"/>
    <x v="4"/>
    <n v="7"/>
  </r>
  <r>
    <n v="24"/>
    <x v="1"/>
    <x v="0"/>
    <n v="350"/>
    <x v="1"/>
    <x v="11"/>
    <x v="0"/>
    <s v="Technical Degree"/>
    <n v="1"/>
    <n v="1551"/>
    <n v="3"/>
    <x v="1"/>
    <n v="57"/>
    <x v="1"/>
    <n v="1"/>
    <x v="2"/>
    <n v="1"/>
    <x v="2"/>
    <n v="2296"/>
    <n v="10036"/>
    <n v="0"/>
    <s v="Y"/>
    <x v="1"/>
    <n v="14"/>
    <x v="0"/>
    <n v="2"/>
    <n v="80"/>
    <x v="2"/>
    <n v="2"/>
    <x v="1"/>
    <x v="1"/>
    <n v="1"/>
    <n v="1"/>
    <x v="0"/>
    <n v="0"/>
  </r>
  <r>
    <n v="40"/>
    <x v="1"/>
    <x v="2"/>
    <n v="1142"/>
    <x v="1"/>
    <x v="1"/>
    <x v="0"/>
    <s v="Life Sciences"/>
    <n v="1"/>
    <n v="1552"/>
    <n v="4"/>
    <x v="1"/>
    <n v="72"/>
    <x v="0"/>
    <n v="2"/>
    <x v="4"/>
    <n v="4"/>
    <x v="2"/>
    <n v="4069"/>
    <n v="8841"/>
    <n v="3"/>
    <s v="Y"/>
    <x v="0"/>
    <n v="18"/>
    <x v="0"/>
    <n v="3"/>
    <n v="80"/>
    <x v="0"/>
    <n v="8"/>
    <x v="2"/>
    <x v="1"/>
    <n v="2"/>
    <n v="2"/>
    <x v="3"/>
    <n v="2"/>
  </r>
  <r>
    <n v="45"/>
    <x v="1"/>
    <x v="0"/>
    <n v="538"/>
    <x v="1"/>
    <x v="0"/>
    <x v="2"/>
    <s v="Technical Degree"/>
    <n v="1"/>
    <n v="1553"/>
    <n v="1"/>
    <x v="1"/>
    <n v="66"/>
    <x v="0"/>
    <n v="3"/>
    <x v="4"/>
    <n v="2"/>
    <x v="2"/>
    <n v="7441"/>
    <n v="20933"/>
    <n v="1"/>
    <s v="Y"/>
    <x v="1"/>
    <n v="12"/>
    <x v="0"/>
    <n v="1"/>
    <n v="80"/>
    <x v="2"/>
    <n v="10"/>
    <x v="5"/>
    <x v="1"/>
    <n v="10"/>
    <n v="8"/>
    <x v="4"/>
    <n v="7"/>
  </r>
  <r>
    <n v="35"/>
    <x v="1"/>
    <x v="0"/>
    <n v="1402"/>
    <x v="0"/>
    <x v="26"/>
    <x v="2"/>
    <s v="Life Sciences"/>
    <n v="1"/>
    <n v="1554"/>
    <n v="2"/>
    <x v="0"/>
    <n v="98"/>
    <x v="1"/>
    <n v="1"/>
    <x v="6"/>
    <n v="3"/>
    <x v="1"/>
    <n v="2430"/>
    <n v="26204"/>
    <n v="0"/>
    <s v="Y"/>
    <x v="1"/>
    <n v="23"/>
    <x v="1"/>
    <n v="1"/>
    <n v="80"/>
    <x v="3"/>
    <n v="6"/>
    <x v="3"/>
    <x v="1"/>
    <n v="5"/>
    <n v="3"/>
    <x v="5"/>
    <n v="2"/>
  </r>
  <r>
    <n v="32"/>
    <x v="1"/>
    <x v="0"/>
    <n v="824"/>
    <x v="1"/>
    <x v="12"/>
    <x v="0"/>
    <s v="Life Sciences"/>
    <n v="1"/>
    <n v="1555"/>
    <n v="4"/>
    <x v="0"/>
    <n v="67"/>
    <x v="1"/>
    <n v="2"/>
    <x v="1"/>
    <n v="2"/>
    <x v="1"/>
    <n v="5878"/>
    <n v="15624"/>
    <n v="3"/>
    <s v="Y"/>
    <x v="1"/>
    <n v="12"/>
    <x v="0"/>
    <n v="1"/>
    <n v="80"/>
    <x v="1"/>
    <n v="12"/>
    <x v="2"/>
    <x v="1"/>
    <n v="7"/>
    <n v="1"/>
    <x v="3"/>
    <n v="5"/>
  </r>
  <r>
    <n v="36"/>
    <x v="1"/>
    <x v="0"/>
    <n v="1157"/>
    <x v="0"/>
    <x v="2"/>
    <x v="2"/>
    <s v="Life Sciences"/>
    <n v="1"/>
    <n v="1556"/>
    <n v="3"/>
    <x v="1"/>
    <n v="70"/>
    <x v="0"/>
    <n v="1"/>
    <x v="6"/>
    <n v="4"/>
    <x v="0"/>
    <n v="2644"/>
    <n v="17001"/>
    <n v="3"/>
    <s v="Y"/>
    <x v="0"/>
    <n v="21"/>
    <x v="1"/>
    <n v="4"/>
    <n v="80"/>
    <x v="0"/>
    <n v="7"/>
    <x v="1"/>
    <x v="2"/>
    <n v="3"/>
    <n v="2"/>
    <x v="1"/>
    <n v="2"/>
  </r>
  <r>
    <n v="48"/>
    <x v="1"/>
    <x v="0"/>
    <n v="492"/>
    <x v="0"/>
    <x v="7"/>
    <x v="2"/>
    <s v="Life Sciences"/>
    <n v="1"/>
    <n v="1557"/>
    <n v="3"/>
    <x v="0"/>
    <n v="96"/>
    <x v="0"/>
    <n v="2"/>
    <x v="0"/>
    <n v="3"/>
    <x v="2"/>
    <n v="6439"/>
    <n v="13693"/>
    <n v="8"/>
    <s v="Y"/>
    <x v="1"/>
    <n v="14"/>
    <x v="0"/>
    <n v="3"/>
    <n v="80"/>
    <x v="1"/>
    <n v="18"/>
    <x v="2"/>
    <x v="1"/>
    <n v="8"/>
    <n v="7"/>
    <x v="4"/>
    <n v="7"/>
  </r>
  <r>
    <n v="29"/>
    <x v="1"/>
    <x v="0"/>
    <n v="598"/>
    <x v="1"/>
    <x v="14"/>
    <x v="3"/>
    <s v="Life Sciences"/>
    <n v="1"/>
    <n v="1558"/>
    <n v="3"/>
    <x v="1"/>
    <n v="91"/>
    <x v="2"/>
    <n v="1"/>
    <x v="1"/>
    <n v="3"/>
    <x v="1"/>
    <n v="2451"/>
    <n v="22376"/>
    <n v="6"/>
    <s v="Y"/>
    <x v="1"/>
    <n v="18"/>
    <x v="0"/>
    <n v="1"/>
    <n v="80"/>
    <x v="3"/>
    <n v="5"/>
    <x v="2"/>
    <x v="2"/>
    <n v="1"/>
    <n v="0"/>
    <x v="0"/>
    <n v="0"/>
  </r>
  <r>
    <n v="33"/>
    <x v="1"/>
    <x v="0"/>
    <n v="1242"/>
    <x v="0"/>
    <x v="1"/>
    <x v="2"/>
    <s v="Life Sciences"/>
    <n v="1"/>
    <n v="1560"/>
    <n v="1"/>
    <x v="1"/>
    <n v="46"/>
    <x v="0"/>
    <n v="2"/>
    <x v="0"/>
    <n v="1"/>
    <x v="1"/>
    <n v="6392"/>
    <n v="10589"/>
    <n v="2"/>
    <s v="Y"/>
    <x v="1"/>
    <n v="13"/>
    <x v="0"/>
    <n v="4"/>
    <n v="80"/>
    <x v="1"/>
    <n v="8"/>
    <x v="6"/>
    <x v="0"/>
    <n v="2"/>
    <n v="2"/>
    <x v="3"/>
    <n v="2"/>
  </r>
  <r>
    <n v="30"/>
    <x v="0"/>
    <x v="0"/>
    <n v="740"/>
    <x v="0"/>
    <x v="0"/>
    <x v="3"/>
    <s v="Life Sciences"/>
    <n v="1"/>
    <n v="1562"/>
    <n v="2"/>
    <x v="1"/>
    <n v="64"/>
    <x v="1"/>
    <n v="2"/>
    <x v="0"/>
    <n v="1"/>
    <x v="1"/>
    <n v="9714"/>
    <n v="5323"/>
    <n v="1"/>
    <s v="Y"/>
    <x v="1"/>
    <n v="11"/>
    <x v="0"/>
    <n v="4"/>
    <n v="80"/>
    <x v="1"/>
    <n v="10"/>
    <x v="5"/>
    <x v="1"/>
    <n v="10"/>
    <n v="8"/>
    <x v="7"/>
    <n v="7"/>
  </r>
  <r>
    <n v="38"/>
    <x v="1"/>
    <x v="1"/>
    <n v="888"/>
    <x v="2"/>
    <x v="17"/>
    <x v="2"/>
    <s v="Human Resources"/>
    <n v="1"/>
    <n v="1563"/>
    <n v="3"/>
    <x v="1"/>
    <n v="71"/>
    <x v="0"/>
    <n v="2"/>
    <x v="8"/>
    <n v="3"/>
    <x v="1"/>
    <n v="6077"/>
    <n v="14814"/>
    <n v="3"/>
    <s v="Y"/>
    <x v="1"/>
    <n v="11"/>
    <x v="0"/>
    <n v="3"/>
    <n v="80"/>
    <x v="0"/>
    <n v="10"/>
    <x v="2"/>
    <x v="1"/>
    <n v="6"/>
    <n v="3"/>
    <x v="1"/>
    <n v="2"/>
  </r>
  <r>
    <n v="35"/>
    <x v="1"/>
    <x v="0"/>
    <n v="992"/>
    <x v="1"/>
    <x v="0"/>
    <x v="3"/>
    <s v="Medical"/>
    <n v="1"/>
    <n v="1564"/>
    <n v="4"/>
    <x v="1"/>
    <n v="68"/>
    <x v="1"/>
    <n v="1"/>
    <x v="2"/>
    <n v="1"/>
    <x v="0"/>
    <n v="2450"/>
    <n v="21731"/>
    <n v="1"/>
    <s v="Y"/>
    <x v="1"/>
    <n v="19"/>
    <x v="0"/>
    <n v="2"/>
    <n v="80"/>
    <x v="0"/>
    <n v="3"/>
    <x v="1"/>
    <x v="1"/>
    <n v="3"/>
    <n v="0"/>
    <x v="1"/>
    <n v="2"/>
  </r>
  <r>
    <n v="30"/>
    <x v="1"/>
    <x v="0"/>
    <n v="1288"/>
    <x v="0"/>
    <x v="22"/>
    <x v="2"/>
    <s v="Technical Degree"/>
    <n v="1"/>
    <n v="1568"/>
    <n v="3"/>
    <x v="1"/>
    <n v="33"/>
    <x v="0"/>
    <n v="3"/>
    <x v="0"/>
    <n v="2"/>
    <x v="1"/>
    <n v="9250"/>
    <n v="17799"/>
    <n v="3"/>
    <s v="Y"/>
    <x v="1"/>
    <n v="12"/>
    <x v="0"/>
    <n v="2"/>
    <n v="80"/>
    <x v="1"/>
    <n v="9"/>
    <x v="1"/>
    <x v="1"/>
    <n v="4"/>
    <n v="2"/>
    <x v="1"/>
    <n v="3"/>
  </r>
  <r>
    <n v="35"/>
    <x v="0"/>
    <x v="0"/>
    <n v="104"/>
    <x v="1"/>
    <x v="2"/>
    <x v="3"/>
    <s v="Life Sciences"/>
    <n v="1"/>
    <n v="1569"/>
    <n v="1"/>
    <x v="0"/>
    <n v="69"/>
    <x v="0"/>
    <n v="1"/>
    <x v="2"/>
    <n v="1"/>
    <x v="2"/>
    <n v="2074"/>
    <n v="26619"/>
    <n v="1"/>
    <s v="Y"/>
    <x v="0"/>
    <n v="12"/>
    <x v="0"/>
    <n v="4"/>
    <n v="80"/>
    <x v="1"/>
    <n v="1"/>
    <x v="2"/>
    <x v="1"/>
    <n v="1"/>
    <n v="0"/>
    <x v="0"/>
    <n v="0"/>
  </r>
  <r>
    <n v="53"/>
    <x v="0"/>
    <x v="0"/>
    <n v="607"/>
    <x v="1"/>
    <x v="2"/>
    <x v="4"/>
    <s v="Technical Degree"/>
    <n v="1"/>
    <n v="1572"/>
    <n v="3"/>
    <x v="0"/>
    <n v="78"/>
    <x v="1"/>
    <n v="3"/>
    <x v="3"/>
    <n v="4"/>
    <x v="1"/>
    <n v="10169"/>
    <n v="14618"/>
    <n v="0"/>
    <s v="Y"/>
    <x v="1"/>
    <n v="16"/>
    <x v="0"/>
    <n v="2"/>
    <n v="80"/>
    <x v="1"/>
    <n v="34"/>
    <x v="5"/>
    <x v="1"/>
    <n v="33"/>
    <n v="7"/>
    <x v="1"/>
    <n v="9"/>
  </r>
  <r>
    <n v="38"/>
    <x v="0"/>
    <x v="0"/>
    <n v="903"/>
    <x v="1"/>
    <x v="2"/>
    <x v="3"/>
    <s v="Medical"/>
    <n v="1"/>
    <n v="1573"/>
    <n v="3"/>
    <x v="1"/>
    <n v="81"/>
    <x v="0"/>
    <n v="2"/>
    <x v="3"/>
    <n v="2"/>
    <x v="1"/>
    <n v="4855"/>
    <n v="7653"/>
    <n v="4"/>
    <s v="Y"/>
    <x v="1"/>
    <n v="11"/>
    <x v="0"/>
    <n v="1"/>
    <n v="80"/>
    <x v="3"/>
    <n v="7"/>
    <x v="2"/>
    <x v="1"/>
    <n v="5"/>
    <n v="2"/>
    <x v="1"/>
    <n v="4"/>
  </r>
  <r>
    <n v="32"/>
    <x v="1"/>
    <x v="2"/>
    <n v="1200"/>
    <x v="1"/>
    <x v="0"/>
    <x v="2"/>
    <s v="Technical Degree"/>
    <n v="1"/>
    <n v="1574"/>
    <n v="4"/>
    <x v="1"/>
    <n v="62"/>
    <x v="0"/>
    <n v="2"/>
    <x v="1"/>
    <n v="1"/>
    <x v="1"/>
    <n v="4087"/>
    <n v="25174"/>
    <n v="4"/>
    <s v="Y"/>
    <x v="1"/>
    <n v="14"/>
    <x v="0"/>
    <n v="2"/>
    <n v="80"/>
    <x v="1"/>
    <n v="9"/>
    <x v="1"/>
    <x v="2"/>
    <n v="6"/>
    <n v="5"/>
    <x v="1"/>
    <n v="2"/>
  </r>
  <r>
    <n v="48"/>
    <x v="1"/>
    <x v="0"/>
    <n v="1108"/>
    <x v="1"/>
    <x v="8"/>
    <x v="2"/>
    <s v="Other"/>
    <n v="1"/>
    <n v="1576"/>
    <n v="3"/>
    <x v="0"/>
    <n v="65"/>
    <x v="0"/>
    <n v="1"/>
    <x v="1"/>
    <n v="1"/>
    <x v="1"/>
    <n v="2367"/>
    <n v="16530"/>
    <n v="8"/>
    <s v="Y"/>
    <x v="1"/>
    <n v="12"/>
    <x v="0"/>
    <n v="4"/>
    <n v="80"/>
    <x v="1"/>
    <n v="10"/>
    <x v="1"/>
    <x v="2"/>
    <n v="8"/>
    <n v="2"/>
    <x v="4"/>
    <n v="6"/>
  </r>
  <r>
    <n v="34"/>
    <x v="1"/>
    <x v="0"/>
    <n v="479"/>
    <x v="1"/>
    <x v="15"/>
    <x v="2"/>
    <s v="Medical"/>
    <n v="1"/>
    <n v="1577"/>
    <n v="1"/>
    <x v="1"/>
    <n v="35"/>
    <x v="0"/>
    <n v="1"/>
    <x v="1"/>
    <n v="4"/>
    <x v="0"/>
    <n v="2972"/>
    <n v="22061"/>
    <n v="1"/>
    <s v="Y"/>
    <x v="1"/>
    <n v="13"/>
    <x v="0"/>
    <n v="3"/>
    <n v="80"/>
    <x v="0"/>
    <n v="1"/>
    <x v="5"/>
    <x v="0"/>
    <n v="1"/>
    <n v="0"/>
    <x v="0"/>
    <n v="0"/>
  </r>
  <r>
    <n v="55"/>
    <x v="1"/>
    <x v="0"/>
    <n v="685"/>
    <x v="0"/>
    <x v="9"/>
    <x v="4"/>
    <s v="Marketing"/>
    <n v="1"/>
    <n v="1578"/>
    <n v="3"/>
    <x v="1"/>
    <n v="60"/>
    <x v="1"/>
    <n v="5"/>
    <x v="5"/>
    <n v="4"/>
    <x v="1"/>
    <n v="19586"/>
    <n v="23037"/>
    <n v="1"/>
    <s v="Y"/>
    <x v="1"/>
    <n v="21"/>
    <x v="1"/>
    <n v="3"/>
    <n v="80"/>
    <x v="1"/>
    <n v="36"/>
    <x v="1"/>
    <x v="1"/>
    <n v="36"/>
    <n v="6"/>
    <x v="3"/>
    <n v="13"/>
  </r>
  <r>
    <n v="34"/>
    <x v="1"/>
    <x v="0"/>
    <n v="1351"/>
    <x v="1"/>
    <x v="0"/>
    <x v="2"/>
    <s v="Life Sciences"/>
    <n v="1"/>
    <n v="1580"/>
    <n v="2"/>
    <x v="1"/>
    <n v="45"/>
    <x v="0"/>
    <n v="2"/>
    <x v="1"/>
    <n v="4"/>
    <x v="1"/>
    <n v="5484"/>
    <n v="13008"/>
    <n v="9"/>
    <s v="Y"/>
    <x v="1"/>
    <n v="17"/>
    <x v="0"/>
    <n v="2"/>
    <n v="80"/>
    <x v="1"/>
    <n v="9"/>
    <x v="1"/>
    <x v="2"/>
    <n v="2"/>
    <n v="2"/>
    <x v="3"/>
    <n v="1"/>
  </r>
  <r>
    <n v="26"/>
    <x v="1"/>
    <x v="0"/>
    <n v="474"/>
    <x v="1"/>
    <x v="3"/>
    <x v="3"/>
    <s v="Life Sciences"/>
    <n v="1"/>
    <n v="1581"/>
    <n v="1"/>
    <x v="0"/>
    <n v="89"/>
    <x v="0"/>
    <n v="1"/>
    <x v="1"/>
    <n v="4"/>
    <x v="1"/>
    <n v="2061"/>
    <n v="11133"/>
    <n v="1"/>
    <s v="Y"/>
    <x v="1"/>
    <n v="21"/>
    <x v="1"/>
    <n v="1"/>
    <n v="80"/>
    <x v="0"/>
    <n v="1"/>
    <x v="3"/>
    <x v="1"/>
    <n v="1"/>
    <n v="0"/>
    <x v="0"/>
    <n v="0"/>
  </r>
  <r>
    <n v="38"/>
    <x v="1"/>
    <x v="0"/>
    <n v="1245"/>
    <x v="0"/>
    <x v="24"/>
    <x v="3"/>
    <s v="Life Sciences"/>
    <n v="1"/>
    <n v="1582"/>
    <n v="3"/>
    <x v="1"/>
    <n v="80"/>
    <x v="0"/>
    <n v="2"/>
    <x v="0"/>
    <n v="2"/>
    <x v="1"/>
    <n v="9924"/>
    <n v="12355"/>
    <n v="0"/>
    <s v="Y"/>
    <x v="1"/>
    <n v="11"/>
    <x v="0"/>
    <n v="4"/>
    <n v="80"/>
    <x v="1"/>
    <n v="10"/>
    <x v="1"/>
    <x v="1"/>
    <n v="9"/>
    <n v="8"/>
    <x v="4"/>
    <n v="7"/>
  </r>
  <r>
    <n v="38"/>
    <x v="1"/>
    <x v="0"/>
    <n v="437"/>
    <x v="0"/>
    <x v="7"/>
    <x v="3"/>
    <s v="Life Sciences"/>
    <n v="1"/>
    <n v="1583"/>
    <n v="2"/>
    <x v="0"/>
    <n v="90"/>
    <x v="0"/>
    <n v="2"/>
    <x v="0"/>
    <n v="2"/>
    <x v="0"/>
    <n v="4198"/>
    <n v="16379"/>
    <n v="2"/>
    <s v="Y"/>
    <x v="1"/>
    <n v="12"/>
    <x v="0"/>
    <n v="2"/>
    <n v="80"/>
    <x v="0"/>
    <n v="8"/>
    <x v="3"/>
    <x v="3"/>
    <n v="3"/>
    <n v="2"/>
    <x v="1"/>
    <n v="2"/>
  </r>
  <r>
    <n v="36"/>
    <x v="1"/>
    <x v="0"/>
    <n v="884"/>
    <x v="0"/>
    <x v="0"/>
    <x v="2"/>
    <s v="Life Sciences"/>
    <n v="1"/>
    <n v="1585"/>
    <n v="2"/>
    <x v="0"/>
    <n v="73"/>
    <x v="0"/>
    <n v="2"/>
    <x v="0"/>
    <n v="3"/>
    <x v="0"/>
    <n v="6815"/>
    <n v="21447"/>
    <n v="6"/>
    <s v="Y"/>
    <x v="1"/>
    <n v="13"/>
    <x v="0"/>
    <n v="1"/>
    <n v="80"/>
    <x v="0"/>
    <n v="15"/>
    <x v="3"/>
    <x v="1"/>
    <n v="1"/>
    <n v="0"/>
    <x v="0"/>
    <n v="0"/>
  </r>
  <r>
    <n v="29"/>
    <x v="1"/>
    <x v="0"/>
    <n v="1370"/>
    <x v="1"/>
    <x v="3"/>
    <x v="1"/>
    <s v="Medical"/>
    <n v="1"/>
    <n v="1586"/>
    <n v="2"/>
    <x v="1"/>
    <n v="87"/>
    <x v="0"/>
    <n v="1"/>
    <x v="2"/>
    <n v="1"/>
    <x v="0"/>
    <n v="4723"/>
    <n v="16213"/>
    <n v="1"/>
    <s v="Y"/>
    <x v="0"/>
    <n v="18"/>
    <x v="0"/>
    <n v="4"/>
    <n v="80"/>
    <x v="0"/>
    <n v="10"/>
    <x v="1"/>
    <x v="1"/>
    <n v="10"/>
    <n v="9"/>
    <x v="1"/>
    <n v="5"/>
  </r>
  <r>
    <n v="35"/>
    <x v="1"/>
    <x v="0"/>
    <n v="670"/>
    <x v="1"/>
    <x v="17"/>
    <x v="2"/>
    <s v="Medical"/>
    <n v="1"/>
    <n v="1587"/>
    <n v="1"/>
    <x v="0"/>
    <n v="51"/>
    <x v="0"/>
    <n v="2"/>
    <x v="4"/>
    <n v="3"/>
    <x v="0"/>
    <n v="6142"/>
    <n v="4223"/>
    <n v="3"/>
    <s v="Y"/>
    <x v="0"/>
    <n v="16"/>
    <x v="0"/>
    <n v="3"/>
    <n v="80"/>
    <x v="0"/>
    <n v="10"/>
    <x v="5"/>
    <x v="1"/>
    <n v="5"/>
    <n v="2"/>
    <x v="0"/>
    <n v="4"/>
  </r>
  <r>
    <n v="39"/>
    <x v="1"/>
    <x v="0"/>
    <n v="1462"/>
    <x v="0"/>
    <x v="16"/>
    <x v="3"/>
    <s v="Medical"/>
    <n v="1"/>
    <n v="1588"/>
    <n v="4"/>
    <x v="1"/>
    <n v="38"/>
    <x v="2"/>
    <n v="3"/>
    <x v="0"/>
    <n v="3"/>
    <x v="1"/>
    <n v="8237"/>
    <n v="4658"/>
    <n v="2"/>
    <s v="Y"/>
    <x v="1"/>
    <n v="11"/>
    <x v="0"/>
    <n v="1"/>
    <n v="80"/>
    <x v="1"/>
    <n v="11"/>
    <x v="1"/>
    <x v="1"/>
    <n v="7"/>
    <n v="6"/>
    <x v="4"/>
    <n v="6"/>
  </r>
  <r>
    <n v="29"/>
    <x v="1"/>
    <x v="1"/>
    <n v="995"/>
    <x v="1"/>
    <x v="2"/>
    <x v="1"/>
    <s v="Life Sciences"/>
    <n v="1"/>
    <n v="1590"/>
    <n v="1"/>
    <x v="1"/>
    <n v="87"/>
    <x v="0"/>
    <n v="2"/>
    <x v="4"/>
    <n v="4"/>
    <x v="2"/>
    <n v="8853"/>
    <n v="24483"/>
    <n v="1"/>
    <s v="Y"/>
    <x v="1"/>
    <n v="19"/>
    <x v="0"/>
    <n v="4"/>
    <n v="80"/>
    <x v="1"/>
    <n v="6"/>
    <x v="0"/>
    <x v="3"/>
    <n v="6"/>
    <n v="4"/>
    <x v="1"/>
    <n v="3"/>
  </r>
  <r>
    <n v="50"/>
    <x v="1"/>
    <x v="0"/>
    <n v="264"/>
    <x v="0"/>
    <x v="14"/>
    <x v="3"/>
    <s v="Marketing"/>
    <n v="1"/>
    <n v="1591"/>
    <n v="3"/>
    <x v="1"/>
    <n v="59"/>
    <x v="0"/>
    <n v="5"/>
    <x v="5"/>
    <n v="3"/>
    <x v="1"/>
    <n v="19331"/>
    <n v="19519"/>
    <n v="4"/>
    <s v="Y"/>
    <x v="0"/>
    <n v="16"/>
    <x v="0"/>
    <n v="3"/>
    <n v="80"/>
    <x v="1"/>
    <n v="27"/>
    <x v="2"/>
    <x v="1"/>
    <n v="1"/>
    <n v="0"/>
    <x v="0"/>
    <n v="0"/>
  </r>
  <r>
    <n v="23"/>
    <x v="1"/>
    <x v="0"/>
    <n v="977"/>
    <x v="1"/>
    <x v="17"/>
    <x v="3"/>
    <s v="Technical Degree"/>
    <n v="1"/>
    <n v="1592"/>
    <n v="4"/>
    <x v="1"/>
    <n v="45"/>
    <x v="2"/>
    <n v="1"/>
    <x v="1"/>
    <n v="3"/>
    <x v="1"/>
    <n v="2073"/>
    <n v="12826"/>
    <n v="2"/>
    <s v="Y"/>
    <x v="1"/>
    <n v="16"/>
    <x v="0"/>
    <n v="4"/>
    <n v="80"/>
    <x v="1"/>
    <n v="4"/>
    <x v="2"/>
    <x v="1"/>
    <n v="2"/>
    <n v="2"/>
    <x v="3"/>
    <n v="2"/>
  </r>
  <r>
    <n v="36"/>
    <x v="1"/>
    <x v="1"/>
    <n v="1302"/>
    <x v="1"/>
    <x v="16"/>
    <x v="2"/>
    <s v="Life Sciences"/>
    <n v="1"/>
    <n v="1594"/>
    <n v="1"/>
    <x v="1"/>
    <n v="80"/>
    <x v="2"/>
    <n v="2"/>
    <x v="2"/>
    <n v="1"/>
    <x v="1"/>
    <n v="5562"/>
    <n v="19711"/>
    <n v="3"/>
    <s v="Y"/>
    <x v="0"/>
    <n v="13"/>
    <x v="0"/>
    <n v="4"/>
    <n v="80"/>
    <x v="1"/>
    <n v="9"/>
    <x v="1"/>
    <x v="1"/>
    <n v="3"/>
    <n v="2"/>
    <x v="0"/>
    <n v="2"/>
  </r>
  <r>
    <n v="42"/>
    <x v="1"/>
    <x v="0"/>
    <n v="1059"/>
    <x v="1"/>
    <x v="14"/>
    <x v="0"/>
    <s v="Other"/>
    <n v="1"/>
    <n v="1595"/>
    <n v="4"/>
    <x v="1"/>
    <n v="93"/>
    <x v="1"/>
    <n v="5"/>
    <x v="5"/>
    <n v="4"/>
    <x v="0"/>
    <n v="19613"/>
    <n v="26362"/>
    <n v="8"/>
    <s v="Y"/>
    <x v="1"/>
    <n v="22"/>
    <x v="1"/>
    <n v="4"/>
    <n v="80"/>
    <x v="0"/>
    <n v="24"/>
    <x v="2"/>
    <x v="1"/>
    <n v="1"/>
    <n v="0"/>
    <x v="0"/>
    <n v="1"/>
  </r>
  <r>
    <n v="35"/>
    <x v="1"/>
    <x v="0"/>
    <n v="750"/>
    <x v="1"/>
    <x v="26"/>
    <x v="3"/>
    <s v="Life Sciences"/>
    <n v="1"/>
    <n v="1596"/>
    <n v="2"/>
    <x v="1"/>
    <n v="46"/>
    <x v="2"/>
    <n v="2"/>
    <x v="2"/>
    <n v="3"/>
    <x v="1"/>
    <n v="3407"/>
    <n v="25348"/>
    <n v="1"/>
    <s v="Y"/>
    <x v="1"/>
    <n v="17"/>
    <x v="0"/>
    <n v="4"/>
    <n v="80"/>
    <x v="3"/>
    <n v="10"/>
    <x v="1"/>
    <x v="2"/>
    <n v="10"/>
    <n v="9"/>
    <x v="7"/>
    <n v="8"/>
  </r>
  <r>
    <n v="34"/>
    <x v="1"/>
    <x v="1"/>
    <n v="653"/>
    <x v="1"/>
    <x v="17"/>
    <x v="2"/>
    <s v="Technical Degree"/>
    <n v="1"/>
    <n v="1597"/>
    <n v="4"/>
    <x v="1"/>
    <n v="92"/>
    <x v="1"/>
    <n v="2"/>
    <x v="4"/>
    <n v="3"/>
    <x v="1"/>
    <n v="5063"/>
    <n v="15332"/>
    <n v="1"/>
    <s v="Y"/>
    <x v="1"/>
    <n v="14"/>
    <x v="0"/>
    <n v="2"/>
    <n v="80"/>
    <x v="1"/>
    <n v="8"/>
    <x v="1"/>
    <x v="2"/>
    <n v="8"/>
    <n v="2"/>
    <x v="4"/>
    <n v="7"/>
  </r>
  <r>
    <n v="40"/>
    <x v="1"/>
    <x v="0"/>
    <n v="118"/>
    <x v="0"/>
    <x v="24"/>
    <x v="0"/>
    <s v="Life Sciences"/>
    <n v="1"/>
    <n v="1598"/>
    <n v="4"/>
    <x v="0"/>
    <n v="84"/>
    <x v="0"/>
    <n v="2"/>
    <x v="0"/>
    <n v="1"/>
    <x v="1"/>
    <n v="4639"/>
    <n v="11262"/>
    <n v="1"/>
    <s v="Y"/>
    <x v="1"/>
    <n v="15"/>
    <x v="0"/>
    <n v="3"/>
    <n v="80"/>
    <x v="1"/>
    <n v="5"/>
    <x v="2"/>
    <x v="1"/>
    <n v="5"/>
    <n v="4"/>
    <x v="1"/>
    <n v="2"/>
  </r>
  <r>
    <n v="43"/>
    <x v="1"/>
    <x v="0"/>
    <n v="990"/>
    <x v="1"/>
    <x v="6"/>
    <x v="3"/>
    <s v="Technical Degree"/>
    <n v="1"/>
    <n v="1599"/>
    <n v="4"/>
    <x v="1"/>
    <n v="87"/>
    <x v="2"/>
    <n v="1"/>
    <x v="2"/>
    <n v="2"/>
    <x v="2"/>
    <n v="4876"/>
    <n v="5855"/>
    <n v="5"/>
    <s v="Y"/>
    <x v="1"/>
    <n v="12"/>
    <x v="0"/>
    <n v="3"/>
    <n v="80"/>
    <x v="1"/>
    <n v="8"/>
    <x v="0"/>
    <x v="1"/>
    <n v="6"/>
    <n v="4"/>
    <x v="0"/>
    <n v="2"/>
  </r>
  <r>
    <n v="35"/>
    <x v="1"/>
    <x v="0"/>
    <n v="1349"/>
    <x v="1"/>
    <x v="15"/>
    <x v="0"/>
    <s v="Life Sciences"/>
    <n v="1"/>
    <n v="1601"/>
    <n v="3"/>
    <x v="1"/>
    <n v="63"/>
    <x v="1"/>
    <n v="1"/>
    <x v="2"/>
    <n v="4"/>
    <x v="1"/>
    <n v="2690"/>
    <n v="7713"/>
    <n v="1"/>
    <s v="Y"/>
    <x v="1"/>
    <n v="18"/>
    <x v="0"/>
    <n v="4"/>
    <n v="80"/>
    <x v="1"/>
    <n v="1"/>
    <x v="3"/>
    <x v="2"/>
    <n v="1"/>
    <n v="0"/>
    <x v="0"/>
    <n v="1"/>
  </r>
  <r>
    <n v="46"/>
    <x v="1"/>
    <x v="0"/>
    <n v="563"/>
    <x v="0"/>
    <x v="0"/>
    <x v="2"/>
    <s v="Life Sciences"/>
    <n v="1"/>
    <n v="1602"/>
    <n v="4"/>
    <x v="1"/>
    <n v="56"/>
    <x v="2"/>
    <n v="4"/>
    <x v="5"/>
    <n v="1"/>
    <x v="0"/>
    <n v="17567"/>
    <n v="3156"/>
    <n v="1"/>
    <s v="Y"/>
    <x v="1"/>
    <n v="15"/>
    <x v="0"/>
    <n v="2"/>
    <n v="80"/>
    <x v="0"/>
    <n v="27"/>
    <x v="3"/>
    <x v="0"/>
    <n v="26"/>
    <n v="0"/>
    <x v="0"/>
    <n v="12"/>
  </r>
  <r>
    <n v="28"/>
    <x v="0"/>
    <x v="0"/>
    <n v="329"/>
    <x v="1"/>
    <x v="4"/>
    <x v="3"/>
    <s v="Medical"/>
    <n v="1"/>
    <n v="1604"/>
    <n v="3"/>
    <x v="1"/>
    <n v="51"/>
    <x v="0"/>
    <n v="1"/>
    <x v="2"/>
    <n v="2"/>
    <x v="1"/>
    <n v="2408"/>
    <n v="7324"/>
    <n v="1"/>
    <s v="Y"/>
    <x v="0"/>
    <n v="17"/>
    <x v="0"/>
    <n v="3"/>
    <n v="80"/>
    <x v="2"/>
    <n v="1"/>
    <x v="1"/>
    <x v="1"/>
    <n v="1"/>
    <n v="1"/>
    <x v="0"/>
    <n v="0"/>
  </r>
  <r>
    <n v="22"/>
    <x v="1"/>
    <x v="2"/>
    <n v="457"/>
    <x v="1"/>
    <x v="9"/>
    <x v="0"/>
    <s v="Other"/>
    <n v="1"/>
    <n v="1605"/>
    <n v="2"/>
    <x v="0"/>
    <n v="85"/>
    <x v="1"/>
    <n v="1"/>
    <x v="1"/>
    <n v="3"/>
    <x v="1"/>
    <n v="2814"/>
    <n v="10293"/>
    <n v="1"/>
    <s v="Y"/>
    <x v="0"/>
    <n v="14"/>
    <x v="0"/>
    <n v="2"/>
    <n v="80"/>
    <x v="0"/>
    <n v="4"/>
    <x v="2"/>
    <x v="2"/>
    <n v="4"/>
    <n v="2"/>
    <x v="1"/>
    <n v="3"/>
  </r>
  <r>
    <n v="50"/>
    <x v="1"/>
    <x v="1"/>
    <n v="1234"/>
    <x v="1"/>
    <x v="25"/>
    <x v="4"/>
    <s v="Medical"/>
    <n v="1"/>
    <n v="1606"/>
    <n v="2"/>
    <x v="1"/>
    <n v="41"/>
    <x v="0"/>
    <n v="4"/>
    <x v="4"/>
    <n v="3"/>
    <x v="1"/>
    <n v="11245"/>
    <n v="20689"/>
    <n v="2"/>
    <s v="Y"/>
    <x v="0"/>
    <n v="15"/>
    <x v="0"/>
    <n v="3"/>
    <n v="80"/>
    <x v="1"/>
    <n v="32"/>
    <x v="1"/>
    <x v="1"/>
    <n v="30"/>
    <n v="8"/>
    <x v="12"/>
    <n v="13"/>
  </r>
  <r>
    <n v="32"/>
    <x v="1"/>
    <x v="0"/>
    <n v="634"/>
    <x v="1"/>
    <x v="12"/>
    <x v="2"/>
    <s v="Other"/>
    <n v="1"/>
    <n v="1607"/>
    <n v="2"/>
    <x v="0"/>
    <n v="35"/>
    <x v="2"/>
    <n v="1"/>
    <x v="1"/>
    <n v="4"/>
    <x v="1"/>
    <n v="3312"/>
    <n v="18783"/>
    <n v="3"/>
    <s v="Y"/>
    <x v="1"/>
    <n v="17"/>
    <x v="0"/>
    <n v="4"/>
    <n v="80"/>
    <x v="3"/>
    <n v="6"/>
    <x v="1"/>
    <x v="1"/>
    <n v="3"/>
    <n v="2"/>
    <x v="0"/>
    <n v="2"/>
  </r>
  <r>
    <n v="44"/>
    <x v="1"/>
    <x v="0"/>
    <n v="1313"/>
    <x v="1"/>
    <x v="15"/>
    <x v="3"/>
    <s v="Medical"/>
    <n v="1"/>
    <n v="1608"/>
    <n v="2"/>
    <x v="0"/>
    <n v="31"/>
    <x v="0"/>
    <n v="5"/>
    <x v="7"/>
    <n v="4"/>
    <x v="2"/>
    <n v="19049"/>
    <n v="3549"/>
    <n v="0"/>
    <s v="Y"/>
    <x v="0"/>
    <n v="14"/>
    <x v="0"/>
    <n v="4"/>
    <n v="80"/>
    <x v="1"/>
    <n v="23"/>
    <x v="5"/>
    <x v="2"/>
    <n v="22"/>
    <n v="7"/>
    <x v="1"/>
    <n v="10"/>
  </r>
  <r>
    <n v="30"/>
    <x v="1"/>
    <x v="0"/>
    <n v="241"/>
    <x v="1"/>
    <x v="15"/>
    <x v="3"/>
    <s v="Medical"/>
    <n v="1"/>
    <n v="1609"/>
    <n v="2"/>
    <x v="1"/>
    <n v="48"/>
    <x v="1"/>
    <n v="1"/>
    <x v="1"/>
    <n v="2"/>
    <x v="1"/>
    <n v="2141"/>
    <n v="5348"/>
    <n v="1"/>
    <s v="Y"/>
    <x v="1"/>
    <n v="12"/>
    <x v="0"/>
    <n v="2"/>
    <n v="80"/>
    <x v="1"/>
    <n v="6"/>
    <x v="1"/>
    <x v="2"/>
    <n v="6"/>
    <n v="4"/>
    <x v="1"/>
    <n v="1"/>
  </r>
  <r>
    <n v="45"/>
    <x v="1"/>
    <x v="0"/>
    <n v="1015"/>
    <x v="1"/>
    <x v="12"/>
    <x v="4"/>
    <s v="Medical"/>
    <n v="1"/>
    <n v="1611"/>
    <n v="3"/>
    <x v="0"/>
    <n v="50"/>
    <x v="3"/>
    <n v="2"/>
    <x v="2"/>
    <n v="1"/>
    <x v="0"/>
    <n v="5769"/>
    <n v="23447"/>
    <n v="1"/>
    <s v="Y"/>
    <x v="0"/>
    <n v="14"/>
    <x v="0"/>
    <n v="1"/>
    <n v="80"/>
    <x v="0"/>
    <n v="10"/>
    <x v="1"/>
    <x v="1"/>
    <n v="10"/>
    <n v="7"/>
    <x v="1"/>
    <n v="4"/>
  </r>
  <r>
    <n v="45"/>
    <x v="1"/>
    <x v="2"/>
    <n v="336"/>
    <x v="0"/>
    <x v="9"/>
    <x v="3"/>
    <s v="Marketing"/>
    <n v="1"/>
    <n v="1612"/>
    <n v="1"/>
    <x v="1"/>
    <n v="52"/>
    <x v="1"/>
    <n v="2"/>
    <x v="0"/>
    <n v="1"/>
    <x v="1"/>
    <n v="4385"/>
    <n v="24162"/>
    <n v="1"/>
    <s v="Y"/>
    <x v="1"/>
    <n v="15"/>
    <x v="0"/>
    <n v="1"/>
    <n v="80"/>
    <x v="1"/>
    <n v="10"/>
    <x v="2"/>
    <x v="1"/>
    <n v="10"/>
    <n v="7"/>
    <x v="5"/>
    <n v="5"/>
  </r>
  <r>
    <n v="31"/>
    <x v="1"/>
    <x v="1"/>
    <n v="715"/>
    <x v="0"/>
    <x v="2"/>
    <x v="2"/>
    <s v="Other"/>
    <n v="1"/>
    <n v="1613"/>
    <n v="4"/>
    <x v="1"/>
    <n v="54"/>
    <x v="0"/>
    <n v="2"/>
    <x v="0"/>
    <n v="1"/>
    <x v="0"/>
    <n v="5332"/>
    <n v="21602"/>
    <n v="7"/>
    <s v="Y"/>
    <x v="1"/>
    <n v="13"/>
    <x v="0"/>
    <n v="4"/>
    <n v="80"/>
    <x v="0"/>
    <n v="10"/>
    <x v="1"/>
    <x v="1"/>
    <n v="5"/>
    <n v="2"/>
    <x v="0"/>
    <n v="3"/>
  </r>
  <r>
    <n v="36"/>
    <x v="1"/>
    <x v="0"/>
    <n v="559"/>
    <x v="1"/>
    <x v="20"/>
    <x v="2"/>
    <s v="Life Sciences"/>
    <n v="1"/>
    <n v="1614"/>
    <n v="3"/>
    <x v="0"/>
    <n v="76"/>
    <x v="0"/>
    <n v="2"/>
    <x v="3"/>
    <n v="3"/>
    <x v="1"/>
    <n v="4663"/>
    <n v="12421"/>
    <n v="9"/>
    <s v="Y"/>
    <x v="0"/>
    <n v="12"/>
    <x v="0"/>
    <n v="2"/>
    <n v="80"/>
    <x v="3"/>
    <n v="7"/>
    <x v="2"/>
    <x v="1"/>
    <n v="3"/>
    <n v="2"/>
    <x v="1"/>
    <n v="1"/>
  </r>
  <r>
    <n v="34"/>
    <x v="1"/>
    <x v="1"/>
    <n v="426"/>
    <x v="1"/>
    <x v="17"/>
    <x v="2"/>
    <s v="Life Sciences"/>
    <n v="1"/>
    <n v="1615"/>
    <n v="3"/>
    <x v="1"/>
    <n v="42"/>
    <x v="2"/>
    <n v="2"/>
    <x v="3"/>
    <n v="4"/>
    <x v="2"/>
    <n v="4724"/>
    <n v="17000"/>
    <n v="1"/>
    <s v="Y"/>
    <x v="1"/>
    <n v="13"/>
    <x v="0"/>
    <n v="1"/>
    <n v="80"/>
    <x v="1"/>
    <n v="9"/>
    <x v="1"/>
    <x v="1"/>
    <n v="9"/>
    <n v="7"/>
    <x v="4"/>
    <n v="2"/>
  </r>
  <r>
    <n v="49"/>
    <x v="1"/>
    <x v="0"/>
    <n v="722"/>
    <x v="1"/>
    <x v="19"/>
    <x v="2"/>
    <s v="Life Sciences"/>
    <n v="1"/>
    <n v="1617"/>
    <n v="3"/>
    <x v="0"/>
    <n v="84"/>
    <x v="0"/>
    <n v="1"/>
    <x v="2"/>
    <n v="1"/>
    <x v="1"/>
    <n v="3211"/>
    <n v="22102"/>
    <n v="1"/>
    <s v="Y"/>
    <x v="1"/>
    <n v="14"/>
    <x v="0"/>
    <n v="4"/>
    <n v="80"/>
    <x v="1"/>
    <n v="10"/>
    <x v="1"/>
    <x v="2"/>
    <n v="9"/>
    <n v="6"/>
    <x v="1"/>
    <n v="4"/>
  </r>
  <r>
    <n v="39"/>
    <x v="1"/>
    <x v="0"/>
    <n v="1387"/>
    <x v="1"/>
    <x v="17"/>
    <x v="4"/>
    <s v="Medical"/>
    <n v="1"/>
    <n v="1618"/>
    <n v="2"/>
    <x v="1"/>
    <n v="76"/>
    <x v="0"/>
    <n v="2"/>
    <x v="3"/>
    <n v="1"/>
    <x v="1"/>
    <n v="5377"/>
    <n v="3835"/>
    <n v="2"/>
    <s v="Y"/>
    <x v="1"/>
    <n v="13"/>
    <x v="0"/>
    <n v="4"/>
    <n v="80"/>
    <x v="2"/>
    <n v="10"/>
    <x v="1"/>
    <x v="1"/>
    <n v="7"/>
    <n v="7"/>
    <x v="4"/>
    <n v="7"/>
  </r>
  <r>
    <n v="27"/>
    <x v="1"/>
    <x v="0"/>
    <n v="1302"/>
    <x v="1"/>
    <x v="10"/>
    <x v="3"/>
    <s v="Other"/>
    <n v="1"/>
    <n v="1619"/>
    <n v="4"/>
    <x v="1"/>
    <n v="67"/>
    <x v="1"/>
    <n v="1"/>
    <x v="2"/>
    <n v="1"/>
    <x v="2"/>
    <n v="4066"/>
    <n v="16290"/>
    <n v="1"/>
    <s v="Y"/>
    <x v="1"/>
    <n v="11"/>
    <x v="0"/>
    <n v="1"/>
    <n v="80"/>
    <x v="3"/>
    <n v="7"/>
    <x v="1"/>
    <x v="1"/>
    <n v="7"/>
    <n v="7"/>
    <x v="0"/>
    <n v="7"/>
  </r>
  <r>
    <n v="35"/>
    <x v="1"/>
    <x v="0"/>
    <n v="819"/>
    <x v="1"/>
    <x v="21"/>
    <x v="4"/>
    <s v="Life Sciences"/>
    <n v="1"/>
    <n v="1621"/>
    <n v="2"/>
    <x v="1"/>
    <n v="48"/>
    <x v="2"/>
    <n v="2"/>
    <x v="1"/>
    <n v="1"/>
    <x v="1"/>
    <n v="5208"/>
    <n v="26312"/>
    <n v="1"/>
    <s v="Y"/>
    <x v="1"/>
    <n v="11"/>
    <x v="0"/>
    <n v="4"/>
    <n v="80"/>
    <x v="0"/>
    <n v="16"/>
    <x v="2"/>
    <x v="1"/>
    <n v="16"/>
    <n v="15"/>
    <x v="1"/>
    <n v="10"/>
  </r>
  <r>
    <n v="28"/>
    <x v="1"/>
    <x v="0"/>
    <n v="580"/>
    <x v="1"/>
    <x v="6"/>
    <x v="3"/>
    <s v="Medical"/>
    <n v="1"/>
    <n v="1622"/>
    <n v="2"/>
    <x v="0"/>
    <n v="39"/>
    <x v="3"/>
    <n v="2"/>
    <x v="3"/>
    <n v="1"/>
    <x v="2"/>
    <n v="4877"/>
    <n v="20460"/>
    <n v="0"/>
    <s v="Y"/>
    <x v="1"/>
    <n v="21"/>
    <x v="1"/>
    <n v="2"/>
    <n v="80"/>
    <x v="1"/>
    <n v="6"/>
    <x v="3"/>
    <x v="2"/>
    <n v="5"/>
    <n v="3"/>
    <x v="0"/>
    <n v="0"/>
  </r>
  <r>
    <n v="21"/>
    <x v="1"/>
    <x v="0"/>
    <n v="546"/>
    <x v="1"/>
    <x v="12"/>
    <x v="1"/>
    <s v="Medical"/>
    <n v="1"/>
    <n v="1623"/>
    <n v="3"/>
    <x v="1"/>
    <n v="97"/>
    <x v="0"/>
    <n v="1"/>
    <x v="1"/>
    <n v="4"/>
    <x v="0"/>
    <n v="3117"/>
    <n v="26009"/>
    <n v="1"/>
    <s v="Y"/>
    <x v="1"/>
    <n v="18"/>
    <x v="0"/>
    <n v="3"/>
    <n v="80"/>
    <x v="0"/>
    <n v="3"/>
    <x v="2"/>
    <x v="1"/>
    <n v="2"/>
    <n v="2"/>
    <x v="3"/>
    <n v="2"/>
  </r>
  <r>
    <n v="18"/>
    <x v="0"/>
    <x v="1"/>
    <n v="544"/>
    <x v="0"/>
    <x v="3"/>
    <x v="0"/>
    <s v="Medical"/>
    <n v="1"/>
    <n v="1624"/>
    <n v="2"/>
    <x v="0"/>
    <n v="70"/>
    <x v="0"/>
    <n v="1"/>
    <x v="6"/>
    <n v="4"/>
    <x v="0"/>
    <n v="1569"/>
    <n v="18420"/>
    <n v="1"/>
    <s v="Y"/>
    <x v="0"/>
    <n v="12"/>
    <x v="0"/>
    <n v="3"/>
    <n v="80"/>
    <x v="0"/>
    <n v="0"/>
    <x v="2"/>
    <x v="3"/>
    <n v="0"/>
    <n v="0"/>
    <x v="0"/>
    <n v="0"/>
  </r>
  <r>
    <n v="47"/>
    <x v="1"/>
    <x v="0"/>
    <n v="1176"/>
    <x v="2"/>
    <x v="9"/>
    <x v="2"/>
    <s v="Life Sciences"/>
    <n v="1"/>
    <n v="1625"/>
    <n v="4"/>
    <x v="0"/>
    <n v="98"/>
    <x v="0"/>
    <n v="5"/>
    <x v="5"/>
    <n v="3"/>
    <x v="1"/>
    <n v="19658"/>
    <n v="5220"/>
    <n v="3"/>
    <s v="Y"/>
    <x v="1"/>
    <n v="11"/>
    <x v="0"/>
    <n v="3"/>
    <n v="80"/>
    <x v="1"/>
    <n v="27"/>
    <x v="2"/>
    <x v="1"/>
    <n v="5"/>
    <n v="2"/>
    <x v="1"/>
    <n v="0"/>
  </r>
  <r>
    <n v="39"/>
    <x v="1"/>
    <x v="0"/>
    <n v="170"/>
    <x v="1"/>
    <x v="3"/>
    <x v="0"/>
    <s v="Medical"/>
    <n v="1"/>
    <n v="1627"/>
    <n v="3"/>
    <x v="1"/>
    <n v="76"/>
    <x v="1"/>
    <n v="2"/>
    <x v="2"/>
    <n v="3"/>
    <x v="2"/>
    <n v="3069"/>
    <n v="10302"/>
    <n v="0"/>
    <s v="Y"/>
    <x v="1"/>
    <n v="15"/>
    <x v="0"/>
    <n v="4"/>
    <n v="80"/>
    <x v="1"/>
    <n v="11"/>
    <x v="1"/>
    <x v="1"/>
    <n v="10"/>
    <n v="8"/>
    <x v="0"/>
    <n v="7"/>
  </r>
  <r>
    <n v="40"/>
    <x v="1"/>
    <x v="0"/>
    <n v="884"/>
    <x v="1"/>
    <x v="8"/>
    <x v="3"/>
    <s v="Life Sciences"/>
    <n v="1"/>
    <n v="1628"/>
    <n v="1"/>
    <x v="0"/>
    <n v="80"/>
    <x v="1"/>
    <n v="3"/>
    <x v="3"/>
    <n v="3"/>
    <x v="1"/>
    <n v="10435"/>
    <n v="25800"/>
    <n v="1"/>
    <s v="Y"/>
    <x v="1"/>
    <n v="13"/>
    <x v="0"/>
    <n v="4"/>
    <n v="80"/>
    <x v="3"/>
    <n v="18"/>
    <x v="2"/>
    <x v="1"/>
    <n v="18"/>
    <n v="15"/>
    <x v="15"/>
    <n v="12"/>
  </r>
  <r>
    <n v="35"/>
    <x v="1"/>
    <x v="2"/>
    <n v="208"/>
    <x v="1"/>
    <x v="1"/>
    <x v="2"/>
    <s v="Life Sciences"/>
    <n v="1"/>
    <n v="1630"/>
    <n v="3"/>
    <x v="0"/>
    <n v="52"/>
    <x v="0"/>
    <n v="2"/>
    <x v="4"/>
    <n v="3"/>
    <x v="1"/>
    <n v="4148"/>
    <n v="12250"/>
    <n v="1"/>
    <s v="Y"/>
    <x v="1"/>
    <n v="12"/>
    <x v="0"/>
    <n v="4"/>
    <n v="80"/>
    <x v="1"/>
    <n v="15"/>
    <x v="3"/>
    <x v="1"/>
    <n v="14"/>
    <n v="11"/>
    <x v="3"/>
    <n v="9"/>
  </r>
  <r>
    <n v="37"/>
    <x v="1"/>
    <x v="0"/>
    <n v="671"/>
    <x v="1"/>
    <x v="10"/>
    <x v="3"/>
    <s v="Life Sciences"/>
    <n v="1"/>
    <n v="1631"/>
    <n v="3"/>
    <x v="1"/>
    <n v="85"/>
    <x v="0"/>
    <n v="2"/>
    <x v="3"/>
    <n v="3"/>
    <x v="1"/>
    <n v="5768"/>
    <n v="26493"/>
    <n v="3"/>
    <s v="Y"/>
    <x v="1"/>
    <n v="17"/>
    <x v="0"/>
    <n v="1"/>
    <n v="80"/>
    <x v="2"/>
    <n v="9"/>
    <x v="2"/>
    <x v="2"/>
    <n v="4"/>
    <n v="3"/>
    <x v="0"/>
    <n v="2"/>
  </r>
  <r>
    <n v="39"/>
    <x v="1"/>
    <x v="1"/>
    <n v="711"/>
    <x v="1"/>
    <x v="18"/>
    <x v="3"/>
    <s v="Medical"/>
    <n v="1"/>
    <n v="1633"/>
    <n v="1"/>
    <x v="0"/>
    <n v="81"/>
    <x v="0"/>
    <n v="2"/>
    <x v="3"/>
    <n v="3"/>
    <x v="0"/>
    <n v="5042"/>
    <n v="3140"/>
    <n v="0"/>
    <s v="Y"/>
    <x v="1"/>
    <n v="13"/>
    <x v="0"/>
    <n v="4"/>
    <n v="80"/>
    <x v="0"/>
    <n v="10"/>
    <x v="2"/>
    <x v="0"/>
    <n v="9"/>
    <n v="2"/>
    <x v="2"/>
    <n v="8"/>
  </r>
  <r>
    <n v="45"/>
    <x v="1"/>
    <x v="0"/>
    <n v="1329"/>
    <x v="1"/>
    <x v="2"/>
    <x v="0"/>
    <s v="Other"/>
    <n v="1"/>
    <n v="1635"/>
    <n v="4"/>
    <x v="0"/>
    <n v="59"/>
    <x v="1"/>
    <n v="2"/>
    <x v="3"/>
    <n v="4"/>
    <x v="2"/>
    <n v="5770"/>
    <n v="5388"/>
    <n v="1"/>
    <s v="Y"/>
    <x v="1"/>
    <n v="19"/>
    <x v="0"/>
    <n v="1"/>
    <n v="80"/>
    <x v="3"/>
    <n v="10"/>
    <x v="1"/>
    <x v="1"/>
    <n v="10"/>
    <n v="7"/>
    <x v="2"/>
    <n v="9"/>
  </r>
  <r>
    <n v="38"/>
    <x v="1"/>
    <x v="0"/>
    <n v="397"/>
    <x v="1"/>
    <x v="2"/>
    <x v="0"/>
    <s v="Medical"/>
    <n v="1"/>
    <n v="1638"/>
    <n v="4"/>
    <x v="0"/>
    <n v="54"/>
    <x v="1"/>
    <n v="3"/>
    <x v="3"/>
    <n v="3"/>
    <x v="1"/>
    <n v="7756"/>
    <n v="14199"/>
    <n v="3"/>
    <s v="Y"/>
    <x v="0"/>
    <n v="19"/>
    <x v="0"/>
    <n v="4"/>
    <n v="80"/>
    <x v="1"/>
    <n v="10"/>
    <x v="6"/>
    <x v="3"/>
    <n v="5"/>
    <n v="4"/>
    <x v="0"/>
    <n v="2"/>
  </r>
  <r>
    <n v="35"/>
    <x v="0"/>
    <x v="0"/>
    <n v="737"/>
    <x v="0"/>
    <x v="17"/>
    <x v="3"/>
    <s v="Medical"/>
    <n v="1"/>
    <n v="1639"/>
    <n v="4"/>
    <x v="1"/>
    <n v="55"/>
    <x v="1"/>
    <n v="3"/>
    <x v="0"/>
    <n v="1"/>
    <x v="1"/>
    <n v="10306"/>
    <n v="21530"/>
    <n v="9"/>
    <s v="Y"/>
    <x v="1"/>
    <n v="17"/>
    <x v="0"/>
    <n v="3"/>
    <n v="80"/>
    <x v="0"/>
    <n v="15"/>
    <x v="1"/>
    <x v="1"/>
    <n v="13"/>
    <n v="12"/>
    <x v="7"/>
    <n v="0"/>
  </r>
  <r>
    <n v="37"/>
    <x v="1"/>
    <x v="0"/>
    <n v="1470"/>
    <x v="1"/>
    <x v="17"/>
    <x v="3"/>
    <s v="Medical"/>
    <n v="1"/>
    <n v="1640"/>
    <n v="2"/>
    <x v="0"/>
    <n v="71"/>
    <x v="0"/>
    <n v="1"/>
    <x v="1"/>
    <n v="2"/>
    <x v="1"/>
    <n v="3936"/>
    <n v="9953"/>
    <n v="1"/>
    <s v="Y"/>
    <x v="1"/>
    <n v="11"/>
    <x v="0"/>
    <n v="1"/>
    <n v="80"/>
    <x v="1"/>
    <n v="8"/>
    <x v="2"/>
    <x v="0"/>
    <n v="8"/>
    <n v="4"/>
    <x v="4"/>
    <n v="7"/>
  </r>
  <r>
    <n v="40"/>
    <x v="1"/>
    <x v="0"/>
    <n v="448"/>
    <x v="1"/>
    <x v="7"/>
    <x v="3"/>
    <s v="Life Sciences"/>
    <n v="1"/>
    <n v="1641"/>
    <n v="3"/>
    <x v="0"/>
    <n v="84"/>
    <x v="0"/>
    <n v="3"/>
    <x v="3"/>
    <n v="4"/>
    <x v="0"/>
    <n v="7945"/>
    <n v="19948"/>
    <n v="6"/>
    <s v="Y"/>
    <x v="0"/>
    <n v="15"/>
    <x v="0"/>
    <n v="4"/>
    <n v="80"/>
    <x v="0"/>
    <n v="18"/>
    <x v="2"/>
    <x v="2"/>
    <n v="4"/>
    <n v="2"/>
    <x v="2"/>
    <n v="3"/>
  </r>
  <r>
    <n v="44"/>
    <x v="1"/>
    <x v="1"/>
    <n v="602"/>
    <x v="2"/>
    <x v="0"/>
    <x v="4"/>
    <s v="Human Resources"/>
    <n v="1"/>
    <n v="1642"/>
    <n v="1"/>
    <x v="1"/>
    <n v="37"/>
    <x v="0"/>
    <n v="2"/>
    <x v="8"/>
    <n v="4"/>
    <x v="1"/>
    <n v="5743"/>
    <n v="10503"/>
    <n v="4"/>
    <s v="Y"/>
    <x v="0"/>
    <n v="11"/>
    <x v="0"/>
    <n v="3"/>
    <n v="80"/>
    <x v="0"/>
    <n v="14"/>
    <x v="1"/>
    <x v="1"/>
    <n v="10"/>
    <n v="7"/>
    <x v="0"/>
    <n v="2"/>
  </r>
  <r>
    <n v="48"/>
    <x v="1"/>
    <x v="1"/>
    <n v="365"/>
    <x v="1"/>
    <x v="18"/>
    <x v="4"/>
    <s v="Medical"/>
    <n v="1"/>
    <n v="1644"/>
    <n v="3"/>
    <x v="1"/>
    <n v="89"/>
    <x v="1"/>
    <n v="4"/>
    <x v="5"/>
    <n v="4"/>
    <x v="1"/>
    <n v="15202"/>
    <n v="5602"/>
    <n v="2"/>
    <s v="Y"/>
    <x v="1"/>
    <n v="25"/>
    <x v="1"/>
    <n v="2"/>
    <n v="80"/>
    <x v="1"/>
    <n v="23"/>
    <x v="1"/>
    <x v="1"/>
    <n v="2"/>
    <n v="2"/>
    <x v="3"/>
    <n v="2"/>
  </r>
  <r>
    <n v="35"/>
    <x v="0"/>
    <x v="0"/>
    <n v="763"/>
    <x v="0"/>
    <x v="8"/>
    <x v="0"/>
    <s v="Medical"/>
    <n v="1"/>
    <n v="1645"/>
    <n v="1"/>
    <x v="1"/>
    <n v="59"/>
    <x v="3"/>
    <n v="2"/>
    <x v="0"/>
    <n v="4"/>
    <x v="2"/>
    <n v="5440"/>
    <n v="22098"/>
    <n v="6"/>
    <s v="Y"/>
    <x v="0"/>
    <n v="14"/>
    <x v="0"/>
    <n v="4"/>
    <n v="80"/>
    <x v="3"/>
    <n v="7"/>
    <x v="2"/>
    <x v="2"/>
    <n v="2"/>
    <n v="2"/>
    <x v="3"/>
    <n v="2"/>
  </r>
  <r>
    <n v="24"/>
    <x v="1"/>
    <x v="1"/>
    <n v="567"/>
    <x v="1"/>
    <x v="2"/>
    <x v="1"/>
    <s v="Technical Degree"/>
    <n v="1"/>
    <n v="1646"/>
    <n v="1"/>
    <x v="0"/>
    <n v="32"/>
    <x v="0"/>
    <n v="1"/>
    <x v="1"/>
    <n v="4"/>
    <x v="0"/>
    <n v="3760"/>
    <n v="17218"/>
    <n v="1"/>
    <s v="Y"/>
    <x v="0"/>
    <n v="13"/>
    <x v="0"/>
    <n v="3"/>
    <n v="80"/>
    <x v="0"/>
    <n v="6"/>
    <x v="2"/>
    <x v="1"/>
    <n v="6"/>
    <n v="3"/>
    <x v="1"/>
    <n v="3"/>
  </r>
  <r>
    <n v="27"/>
    <x v="1"/>
    <x v="0"/>
    <n v="486"/>
    <x v="1"/>
    <x v="1"/>
    <x v="3"/>
    <s v="Medical"/>
    <n v="1"/>
    <n v="1647"/>
    <n v="2"/>
    <x v="0"/>
    <n v="86"/>
    <x v="2"/>
    <n v="1"/>
    <x v="1"/>
    <n v="3"/>
    <x v="1"/>
    <n v="3517"/>
    <n v="22490"/>
    <n v="7"/>
    <s v="Y"/>
    <x v="1"/>
    <n v="17"/>
    <x v="0"/>
    <n v="1"/>
    <n v="80"/>
    <x v="0"/>
    <n v="5"/>
    <x v="0"/>
    <x v="1"/>
    <n v="3"/>
    <n v="2"/>
    <x v="0"/>
    <n v="2"/>
  </r>
  <r>
    <n v="27"/>
    <x v="1"/>
    <x v="1"/>
    <n v="591"/>
    <x v="1"/>
    <x v="2"/>
    <x v="3"/>
    <s v="Medical"/>
    <n v="1"/>
    <n v="1648"/>
    <n v="4"/>
    <x v="1"/>
    <n v="87"/>
    <x v="0"/>
    <n v="1"/>
    <x v="1"/>
    <n v="4"/>
    <x v="0"/>
    <n v="2580"/>
    <n v="6297"/>
    <n v="2"/>
    <s v="Y"/>
    <x v="1"/>
    <n v="13"/>
    <x v="0"/>
    <n v="3"/>
    <n v="80"/>
    <x v="0"/>
    <n v="6"/>
    <x v="0"/>
    <x v="2"/>
    <n v="4"/>
    <n v="2"/>
    <x v="1"/>
    <n v="2"/>
  </r>
  <r>
    <n v="40"/>
    <x v="0"/>
    <x v="0"/>
    <n v="1329"/>
    <x v="1"/>
    <x v="15"/>
    <x v="3"/>
    <s v="Life Sciences"/>
    <n v="1"/>
    <n v="1649"/>
    <n v="1"/>
    <x v="1"/>
    <n v="73"/>
    <x v="0"/>
    <n v="1"/>
    <x v="2"/>
    <n v="1"/>
    <x v="0"/>
    <n v="2166"/>
    <n v="3339"/>
    <n v="3"/>
    <s v="Y"/>
    <x v="0"/>
    <n v="14"/>
    <x v="0"/>
    <n v="2"/>
    <n v="80"/>
    <x v="0"/>
    <n v="10"/>
    <x v="1"/>
    <x v="0"/>
    <n v="4"/>
    <n v="2"/>
    <x v="0"/>
    <n v="3"/>
  </r>
  <r>
    <n v="29"/>
    <x v="1"/>
    <x v="0"/>
    <n v="469"/>
    <x v="0"/>
    <x v="17"/>
    <x v="3"/>
    <s v="Medical"/>
    <n v="1"/>
    <n v="1650"/>
    <n v="3"/>
    <x v="1"/>
    <n v="42"/>
    <x v="1"/>
    <n v="2"/>
    <x v="0"/>
    <n v="3"/>
    <x v="0"/>
    <n v="5869"/>
    <n v="23413"/>
    <n v="9"/>
    <s v="Y"/>
    <x v="1"/>
    <n v="11"/>
    <x v="0"/>
    <n v="3"/>
    <n v="80"/>
    <x v="0"/>
    <n v="8"/>
    <x v="2"/>
    <x v="1"/>
    <n v="5"/>
    <n v="2"/>
    <x v="1"/>
    <n v="4"/>
  </r>
  <r>
    <n v="36"/>
    <x v="1"/>
    <x v="0"/>
    <n v="711"/>
    <x v="1"/>
    <x v="12"/>
    <x v="2"/>
    <s v="Life Sciences"/>
    <n v="1"/>
    <n v="1651"/>
    <n v="2"/>
    <x v="0"/>
    <n v="42"/>
    <x v="0"/>
    <n v="3"/>
    <x v="4"/>
    <n v="1"/>
    <x v="1"/>
    <n v="8008"/>
    <n v="22792"/>
    <n v="4"/>
    <s v="Y"/>
    <x v="1"/>
    <n v="12"/>
    <x v="0"/>
    <n v="3"/>
    <n v="80"/>
    <x v="3"/>
    <n v="9"/>
    <x v="6"/>
    <x v="1"/>
    <n v="3"/>
    <n v="2"/>
    <x v="0"/>
    <n v="2"/>
  </r>
  <r>
    <n v="25"/>
    <x v="1"/>
    <x v="1"/>
    <n v="772"/>
    <x v="1"/>
    <x v="2"/>
    <x v="1"/>
    <s v="Life Sciences"/>
    <n v="1"/>
    <n v="1653"/>
    <n v="4"/>
    <x v="1"/>
    <n v="77"/>
    <x v="2"/>
    <n v="2"/>
    <x v="3"/>
    <n v="3"/>
    <x v="2"/>
    <n v="5206"/>
    <n v="4973"/>
    <n v="1"/>
    <s v="Y"/>
    <x v="1"/>
    <n v="17"/>
    <x v="0"/>
    <n v="3"/>
    <n v="80"/>
    <x v="3"/>
    <n v="7"/>
    <x v="6"/>
    <x v="1"/>
    <n v="7"/>
    <n v="7"/>
    <x v="0"/>
    <n v="7"/>
  </r>
  <r>
    <n v="39"/>
    <x v="1"/>
    <x v="0"/>
    <n v="492"/>
    <x v="1"/>
    <x v="20"/>
    <x v="3"/>
    <s v="Medical"/>
    <n v="1"/>
    <n v="1654"/>
    <n v="4"/>
    <x v="1"/>
    <n v="66"/>
    <x v="0"/>
    <n v="2"/>
    <x v="3"/>
    <n v="2"/>
    <x v="1"/>
    <n v="5295"/>
    <n v="7693"/>
    <n v="4"/>
    <s v="Y"/>
    <x v="1"/>
    <n v="21"/>
    <x v="1"/>
    <n v="3"/>
    <n v="80"/>
    <x v="0"/>
    <n v="7"/>
    <x v="1"/>
    <x v="1"/>
    <n v="5"/>
    <n v="4"/>
    <x v="1"/>
    <n v="0"/>
  </r>
  <r>
    <n v="49"/>
    <x v="1"/>
    <x v="0"/>
    <n v="301"/>
    <x v="1"/>
    <x v="23"/>
    <x v="2"/>
    <s v="Other"/>
    <n v="1"/>
    <n v="1655"/>
    <n v="1"/>
    <x v="0"/>
    <n v="72"/>
    <x v="0"/>
    <n v="4"/>
    <x v="7"/>
    <n v="2"/>
    <x v="1"/>
    <n v="16413"/>
    <n v="3498"/>
    <n v="3"/>
    <s v="Y"/>
    <x v="1"/>
    <n v="16"/>
    <x v="0"/>
    <n v="2"/>
    <n v="80"/>
    <x v="3"/>
    <n v="27"/>
    <x v="2"/>
    <x v="1"/>
    <n v="4"/>
    <n v="2"/>
    <x v="1"/>
    <n v="2"/>
  </r>
  <r>
    <n v="50"/>
    <x v="1"/>
    <x v="0"/>
    <n v="813"/>
    <x v="1"/>
    <x v="27"/>
    <x v="4"/>
    <s v="Life Sciences"/>
    <n v="1"/>
    <n v="1656"/>
    <n v="4"/>
    <x v="0"/>
    <n v="50"/>
    <x v="1"/>
    <n v="3"/>
    <x v="7"/>
    <n v="1"/>
    <x v="2"/>
    <n v="13269"/>
    <n v="21981"/>
    <n v="5"/>
    <s v="Y"/>
    <x v="1"/>
    <n v="15"/>
    <x v="0"/>
    <n v="3"/>
    <n v="80"/>
    <x v="2"/>
    <n v="19"/>
    <x v="1"/>
    <x v="1"/>
    <n v="14"/>
    <n v="11"/>
    <x v="1"/>
    <n v="11"/>
  </r>
  <r>
    <n v="20"/>
    <x v="1"/>
    <x v="0"/>
    <n v="1141"/>
    <x v="0"/>
    <x v="2"/>
    <x v="3"/>
    <s v="Medical"/>
    <n v="1"/>
    <n v="1657"/>
    <n v="3"/>
    <x v="0"/>
    <n v="31"/>
    <x v="0"/>
    <n v="1"/>
    <x v="6"/>
    <n v="3"/>
    <x v="0"/>
    <n v="2783"/>
    <n v="13251"/>
    <n v="1"/>
    <s v="Y"/>
    <x v="1"/>
    <n v="19"/>
    <x v="0"/>
    <n v="1"/>
    <n v="80"/>
    <x v="0"/>
    <n v="2"/>
    <x v="1"/>
    <x v="1"/>
    <n v="2"/>
    <n v="2"/>
    <x v="3"/>
    <n v="2"/>
  </r>
  <r>
    <n v="34"/>
    <x v="1"/>
    <x v="0"/>
    <n v="1130"/>
    <x v="1"/>
    <x v="3"/>
    <x v="3"/>
    <s v="Life Sciences"/>
    <n v="1"/>
    <n v="1658"/>
    <n v="4"/>
    <x v="0"/>
    <n v="66"/>
    <x v="0"/>
    <n v="2"/>
    <x v="1"/>
    <n v="2"/>
    <x v="2"/>
    <n v="5433"/>
    <n v="19332"/>
    <n v="1"/>
    <s v="Y"/>
    <x v="1"/>
    <n v="12"/>
    <x v="0"/>
    <n v="3"/>
    <n v="80"/>
    <x v="1"/>
    <n v="11"/>
    <x v="2"/>
    <x v="1"/>
    <n v="11"/>
    <n v="8"/>
    <x v="4"/>
    <n v="9"/>
  </r>
  <r>
    <n v="36"/>
    <x v="1"/>
    <x v="0"/>
    <n v="311"/>
    <x v="1"/>
    <x v="15"/>
    <x v="3"/>
    <s v="Life Sciences"/>
    <n v="1"/>
    <n v="1659"/>
    <n v="1"/>
    <x v="1"/>
    <n v="77"/>
    <x v="0"/>
    <n v="1"/>
    <x v="2"/>
    <n v="2"/>
    <x v="0"/>
    <n v="2013"/>
    <n v="10950"/>
    <n v="2"/>
    <s v="Y"/>
    <x v="1"/>
    <n v="11"/>
    <x v="0"/>
    <n v="3"/>
    <n v="80"/>
    <x v="0"/>
    <n v="15"/>
    <x v="5"/>
    <x v="1"/>
    <n v="4"/>
    <n v="3"/>
    <x v="1"/>
    <n v="3"/>
  </r>
  <r>
    <n v="49"/>
    <x v="1"/>
    <x v="0"/>
    <n v="465"/>
    <x v="1"/>
    <x v="16"/>
    <x v="1"/>
    <s v="Life Sciences"/>
    <n v="1"/>
    <n v="1661"/>
    <n v="3"/>
    <x v="0"/>
    <n v="41"/>
    <x v="1"/>
    <n v="4"/>
    <x v="4"/>
    <n v="3"/>
    <x v="1"/>
    <n v="13966"/>
    <n v="11652"/>
    <n v="2"/>
    <s v="Y"/>
    <x v="0"/>
    <n v="19"/>
    <x v="0"/>
    <n v="2"/>
    <n v="80"/>
    <x v="1"/>
    <n v="30"/>
    <x v="1"/>
    <x v="1"/>
    <n v="15"/>
    <n v="11"/>
    <x v="3"/>
    <n v="12"/>
  </r>
  <r>
    <n v="36"/>
    <x v="1"/>
    <x v="2"/>
    <n v="894"/>
    <x v="1"/>
    <x v="0"/>
    <x v="2"/>
    <s v="Medical"/>
    <n v="1"/>
    <n v="1662"/>
    <n v="4"/>
    <x v="0"/>
    <n v="33"/>
    <x v="1"/>
    <n v="2"/>
    <x v="3"/>
    <n v="3"/>
    <x v="1"/>
    <n v="4374"/>
    <n v="15411"/>
    <n v="0"/>
    <s v="Y"/>
    <x v="1"/>
    <n v="15"/>
    <x v="0"/>
    <n v="3"/>
    <n v="80"/>
    <x v="0"/>
    <n v="4"/>
    <x v="6"/>
    <x v="1"/>
    <n v="3"/>
    <n v="2"/>
    <x v="1"/>
    <n v="2"/>
  </r>
  <r>
    <n v="36"/>
    <x v="1"/>
    <x v="0"/>
    <n v="1040"/>
    <x v="1"/>
    <x v="3"/>
    <x v="0"/>
    <s v="Life Sciences"/>
    <n v="1"/>
    <n v="1664"/>
    <n v="4"/>
    <x v="1"/>
    <n v="79"/>
    <x v="2"/>
    <n v="2"/>
    <x v="4"/>
    <n v="1"/>
    <x v="2"/>
    <n v="6842"/>
    <n v="26308"/>
    <n v="6"/>
    <s v="Y"/>
    <x v="1"/>
    <n v="20"/>
    <x v="1"/>
    <n v="1"/>
    <n v="80"/>
    <x v="1"/>
    <n v="13"/>
    <x v="1"/>
    <x v="1"/>
    <n v="5"/>
    <n v="4"/>
    <x v="0"/>
    <n v="4"/>
  </r>
  <r>
    <n v="54"/>
    <x v="1"/>
    <x v="0"/>
    <n v="584"/>
    <x v="1"/>
    <x v="23"/>
    <x v="4"/>
    <s v="Medical"/>
    <n v="1"/>
    <n v="1665"/>
    <n v="2"/>
    <x v="0"/>
    <n v="91"/>
    <x v="0"/>
    <n v="4"/>
    <x v="5"/>
    <n v="3"/>
    <x v="1"/>
    <n v="17426"/>
    <n v="18685"/>
    <n v="3"/>
    <s v="Y"/>
    <x v="1"/>
    <n v="25"/>
    <x v="1"/>
    <n v="3"/>
    <n v="80"/>
    <x v="1"/>
    <n v="36"/>
    <x v="6"/>
    <x v="1"/>
    <n v="10"/>
    <n v="8"/>
    <x v="5"/>
    <n v="7"/>
  </r>
  <r>
    <n v="43"/>
    <x v="1"/>
    <x v="0"/>
    <n v="1291"/>
    <x v="1"/>
    <x v="8"/>
    <x v="0"/>
    <s v="Life Sciences"/>
    <n v="1"/>
    <n v="1666"/>
    <n v="3"/>
    <x v="1"/>
    <n v="65"/>
    <x v="1"/>
    <n v="4"/>
    <x v="7"/>
    <n v="3"/>
    <x v="1"/>
    <n v="17603"/>
    <n v="3525"/>
    <n v="1"/>
    <s v="Y"/>
    <x v="1"/>
    <n v="24"/>
    <x v="1"/>
    <n v="1"/>
    <n v="80"/>
    <x v="1"/>
    <n v="14"/>
    <x v="1"/>
    <x v="1"/>
    <n v="14"/>
    <n v="10"/>
    <x v="7"/>
    <n v="11"/>
  </r>
  <r>
    <n v="35"/>
    <x v="0"/>
    <x v="1"/>
    <n v="880"/>
    <x v="0"/>
    <x v="20"/>
    <x v="2"/>
    <s v="Other"/>
    <n v="1"/>
    <n v="1667"/>
    <n v="4"/>
    <x v="1"/>
    <n v="36"/>
    <x v="0"/>
    <n v="2"/>
    <x v="0"/>
    <n v="4"/>
    <x v="0"/>
    <n v="4581"/>
    <n v="10414"/>
    <n v="3"/>
    <s v="Y"/>
    <x v="0"/>
    <n v="24"/>
    <x v="1"/>
    <n v="1"/>
    <n v="80"/>
    <x v="0"/>
    <n v="13"/>
    <x v="2"/>
    <x v="3"/>
    <n v="11"/>
    <n v="9"/>
    <x v="7"/>
    <n v="7"/>
  </r>
  <r>
    <n v="38"/>
    <x v="1"/>
    <x v="1"/>
    <n v="1189"/>
    <x v="1"/>
    <x v="0"/>
    <x v="3"/>
    <s v="Life Sciences"/>
    <n v="1"/>
    <n v="1668"/>
    <n v="4"/>
    <x v="1"/>
    <n v="90"/>
    <x v="0"/>
    <n v="2"/>
    <x v="1"/>
    <n v="4"/>
    <x v="1"/>
    <n v="4735"/>
    <n v="9867"/>
    <n v="7"/>
    <s v="Y"/>
    <x v="1"/>
    <n v="15"/>
    <x v="0"/>
    <n v="4"/>
    <n v="80"/>
    <x v="3"/>
    <n v="19"/>
    <x v="5"/>
    <x v="3"/>
    <n v="13"/>
    <n v="11"/>
    <x v="3"/>
    <n v="9"/>
  </r>
  <r>
    <n v="29"/>
    <x v="1"/>
    <x v="0"/>
    <n v="991"/>
    <x v="0"/>
    <x v="12"/>
    <x v="3"/>
    <s v="Medical"/>
    <n v="1"/>
    <n v="1669"/>
    <n v="1"/>
    <x v="1"/>
    <n v="43"/>
    <x v="1"/>
    <n v="2"/>
    <x v="0"/>
    <n v="2"/>
    <x v="2"/>
    <n v="4187"/>
    <n v="3356"/>
    <n v="1"/>
    <s v="Y"/>
    <x v="0"/>
    <n v="13"/>
    <x v="0"/>
    <n v="2"/>
    <n v="80"/>
    <x v="1"/>
    <n v="10"/>
    <x v="1"/>
    <x v="2"/>
    <n v="10"/>
    <n v="0"/>
    <x v="0"/>
    <n v="9"/>
  </r>
  <r>
    <n v="33"/>
    <x v="1"/>
    <x v="0"/>
    <n v="392"/>
    <x v="0"/>
    <x v="2"/>
    <x v="2"/>
    <s v="Medical"/>
    <n v="1"/>
    <n v="1670"/>
    <n v="4"/>
    <x v="1"/>
    <n v="93"/>
    <x v="0"/>
    <n v="2"/>
    <x v="0"/>
    <n v="4"/>
    <x v="2"/>
    <n v="5505"/>
    <n v="3921"/>
    <n v="1"/>
    <s v="Y"/>
    <x v="1"/>
    <n v="14"/>
    <x v="0"/>
    <n v="3"/>
    <n v="80"/>
    <x v="3"/>
    <n v="6"/>
    <x v="3"/>
    <x v="1"/>
    <n v="6"/>
    <n v="2"/>
    <x v="0"/>
    <n v="4"/>
  </r>
  <r>
    <n v="32"/>
    <x v="1"/>
    <x v="0"/>
    <n v="977"/>
    <x v="1"/>
    <x v="2"/>
    <x v="3"/>
    <s v="Medical"/>
    <n v="1"/>
    <n v="1671"/>
    <n v="4"/>
    <x v="1"/>
    <n v="45"/>
    <x v="0"/>
    <n v="2"/>
    <x v="1"/>
    <n v="2"/>
    <x v="2"/>
    <n v="5470"/>
    <n v="25518"/>
    <n v="0"/>
    <s v="Y"/>
    <x v="1"/>
    <n v="13"/>
    <x v="0"/>
    <n v="3"/>
    <n v="80"/>
    <x v="3"/>
    <n v="10"/>
    <x v="5"/>
    <x v="2"/>
    <n v="9"/>
    <n v="5"/>
    <x v="1"/>
    <n v="6"/>
  </r>
  <r>
    <n v="31"/>
    <x v="1"/>
    <x v="0"/>
    <n v="1112"/>
    <x v="0"/>
    <x v="12"/>
    <x v="2"/>
    <s v="Life Sciences"/>
    <n v="1"/>
    <n v="1673"/>
    <n v="1"/>
    <x v="0"/>
    <n v="67"/>
    <x v="0"/>
    <n v="2"/>
    <x v="0"/>
    <n v="4"/>
    <x v="1"/>
    <n v="5476"/>
    <n v="22589"/>
    <n v="1"/>
    <s v="Y"/>
    <x v="1"/>
    <n v="11"/>
    <x v="0"/>
    <n v="1"/>
    <n v="80"/>
    <x v="3"/>
    <n v="10"/>
    <x v="2"/>
    <x v="1"/>
    <n v="10"/>
    <n v="0"/>
    <x v="0"/>
    <n v="2"/>
  </r>
  <r>
    <n v="49"/>
    <x v="1"/>
    <x v="0"/>
    <n v="464"/>
    <x v="1"/>
    <x v="7"/>
    <x v="3"/>
    <s v="Medical"/>
    <n v="1"/>
    <n v="1674"/>
    <n v="4"/>
    <x v="0"/>
    <n v="74"/>
    <x v="0"/>
    <n v="1"/>
    <x v="2"/>
    <n v="1"/>
    <x v="2"/>
    <n v="2587"/>
    <n v="24941"/>
    <n v="4"/>
    <s v="Y"/>
    <x v="0"/>
    <n v="16"/>
    <x v="0"/>
    <n v="2"/>
    <n v="80"/>
    <x v="1"/>
    <n v="17"/>
    <x v="2"/>
    <x v="2"/>
    <n v="2"/>
    <n v="2"/>
    <x v="3"/>
    <n v="2"/>
  </r>
  <r>
    <n v="38"/>
    <x v="1"/>
    <x v="1"/>
    <n v="148"/>
    <x v="1"/>
    <x v="2"/>
    <x v="3"/>
    <s v="Medical"/>
    <n v="1"/>
    <n v="1675"/>
    <n v="4"/>
    <x v="0"/>
    <n v="42"/>
    <x v="1"/>
    <n v="1"/>
    <x v="2"/>
    <n v="2"/>
    <x v="0"/>
    <n v="2440"/>
    <n v="23826"/>
    <n v="1"/>
    <s v="Y"/>
    <x v="1"/>
    <n v="22"/>
    <x v="1"/>
    <n v="2"/>
    <n v="80"/>
    <x v="0"/>
    <n v="4"/>
    <x v="1"/>
    <x v="1"/>
    <n v="4"/>
    <n v="3"/>
    <x v="2"/>
    <n v="3"/>
  </r>
  <r>
    <n v="47"/>
    <x v="1"/>
    <x v="0"/>
    <n v="1225"/>
    <x v="0"/>
    <x v="2"/>
    <x v="2"/>
    <s v="Life Sciences"/>
    <n v="1"/>
    <n v="1676"/>
    <n v="2"/>
    <x v="0"/>
    <n v="47"/>
    <x v="2"/>
    <n v="4"/>
    <x v="5"/>
    <n v="2"/>
    <x v="2"/>
    <n v="15972"/>
    <n v="21086"/>
    <n v="6"/>
    <s v="Y"/>
    <x v="1"/>
    <n v="14"/>
    <x v="0"/>
    <n v="3"/>
    <n v="80"/>
    <x v="2"/>
    <n v="29"/>
    <x v="2"/>
    <x v="1"/>
    <n v="3"/>
    <n v="2"/>
    <x v="1"/>
    <n v="2"/>
  </r>
  <r>
    <n v="49"/>
    <x v="1"/>
    <x v="0"/>
    <n v="809"/>
    <x v="1"/>
    <x v="0"/>
    <x v="3"/>
    <s v="Life Sciences"/>
    <n v="1"/>
    <n v="1677"/>
    <n v="3"/>
    <x v="1"/>
    <n v="36"/>
    <x v="0"/>
    <n v="4"/>
    <x v="5"/>
    <n v="3"/>
    <x v="0"/>
    <n v="15379"/>
    <n v="22384"/>
    <n v="4"/>
    <s v="Y"/>
    <x v="1"/>
    <n v="14"/>
    <x v="0"/>
    <n v="1"/>
    <n v="80"/>
    <x v="0"/>
    <n v="23"/>
    <x v="2"/>
    <x v="1"/>
    <n v="8"/>
    <n v="7"/>
    <x v="0"/>
    <n v="0"/>
  </r>
  <r>
    <n v="41"/>
    <x v="1"/>
    <x v="0"/>
    <n v="1206"/>
    <x v="0"/>
    <x v="5"/>
    <x v="0"/>
    <s v="Life Sciences"/>
    <n v="1"/>
    <n v="1678"/>
    <n v="4"/>
    <x v="1"/>
    <n v="80"/>
    <x v="0"/>
    <n v="3"/>
    <x v="0"/>
    <n v="3"/>
    <x v="0"/>
    <n v="7082"/>
    <n v="11591"/>
    <n v="3"/>
    <s v="Y"/>
    <x v="0"/>
    <n v="16"/>
    <x v="0"/>
    <n v="4"/>
    <n v="80"/>
    <x v="0"/>
    <n v="21"/>
    <x v="2"/>
    <x v="1"/>
    <n v="2"/>
    <n v="0"/>
    <x v="0"/>
    <n v="2"/>
  </r>
  <r>
    <n v="20"/>
    <x v="1"/>
    <x v="0"/>
    <n v="727"/>
    <x v="0"/>
    <x v="14"/>
    <x v="1"/>
    <s v="Life Sciences"/>
    <n v="1"/>
    <n v="1680"/>
    <n v="4"/>
    <x v="1"/>
    <n v="54"/>
    <x v="0"/>
    <n v="1"/>
    <x v="6"/>
    <n v="1"/>
    <x v="0"/>
    <n v="2728"/>
    <n v="21082"/>
    <n v="1"/>
    <s v="Y"/>
    <x v="1"/>
    <n v="11"/>
    <x v="0"/>
    <n v="1"/>
    <n v="80"/>
    <x v="0"/>
    <n v="2"/>
    <x v="1"/>
    <x v="1"/>
    <n v="2"/>
    <n v="2"/>
    <x v="0"/>
    <n v="2"/>
  </r>
  <r>
    <n v="33"/>
    <x v="1"/>
    <x v="2"/>
    <n v="530"/>
    <x v="0"/>
    <x v="7"/>
    <x v="3"/>
    <s v="Life Sciences"/>
    <n v="1"/>
    <n v="1681"/>
    <n v="3"/>
    <x v="0"/>
    <n v="36"/>
    <x v="0"/>
    <n v="2"/>
    <x v="0"/>
    <n v="4"/>
    <x v="2"/>
    <n v="5368"/>
    <n v="16130"/>
    <n v="1"/>
    <s v="Y"/>
    <x v="0"/>
    <n v="25"/>
    <x v="1"/>
    <n v="3"/>
    <n v="80"/>
    <x v="1"/>
    <n v="7"/>
    <x v="2"/>
    <x v="1"/>
    <n v="6"/>
    <n v="5"/>
    <x v="1"/>
    <n v="2"/>
  </r>
  <r>
    <n v="36"/>
    <x v="1"/>
    <x v="0"/>
    <n v="1351"/>
    <x v="1"/>
    <x v="9"/>
    <x v="2"/>
    <s v="Life Sciences"/>
    <n v="1"/>
    <n v="1682"/>
    <n v="1"/>
    <x v="1"/>
    <n v="80"/>
    <x v="0"/>
    <n v="2"/>
    <x v="4"/>
    <n v="3"/>
    <x v="1"/>
    <n v="5347"/>
    <n v="7419"/>
    <n v="6"/>
    <s v="Y"/>
    <x v="1"/>
    <n v="14"/>
    <x v="0"/>
    <n v="2"/>
    <n v="80"/>
    <x v="3"/>
    <n v="10"/>
    <x v="2"/>
    <x v="2"/>
    <n v="3"/>
    <n v="2"/>
    <x v="0"/>
    <n v="2"/>
  </r>
  <r>
    <n v="44"/>
    <x v="1"/>
    <x v="0"/>
    <n v="528"/>
    <x v="2"/>
    <x v="0"/>
    <x v="3"/>
    <s v="Life Sciences"/>
    <n v="1"/>
    <n v="1683"/>
    <n v="3"/>
    <x v="0"/>
    <n v="44"/>
    <x v="0"/>
    <n v="1"/>
    <x v="8"/>
    <n v="4"/>
    <x v="2"/>
    <n v="3195"/>
    <n v="4167"/>
    <n v="4"/>
    <s v="Y"/>
    <x v="0"/>
    <n v="18"/>
    <x v="0"/>
    <n v="1"/>
    <n v="80"/>
    <x v="2"/>
    <n v="8"/>
    <x v="2"/>
    <x v="1"/>
    <n v="2"/>
    <n v="2"/>
    <x v="3"/>
    <n v="2"/>
  </r>
  <r>
    <n v="23"/>
    <x v="0"/>
    <x v="0"/>
    <n v="1320"/>
    <x v="1"/>
    <x v="1"/>
    <x v="1"/>
    <s v="Medical"/>
    <n v="1"/>
    <n v="1684"/>
    <n v="4"/>
    <x v="1"/>
    <n v="93"/>
    <x v="1"/>
    <n v="1"/>
    <x v="2"/>
    <n v="3"/>
    <x v="0"/>
    <n v="3989"/>
    <n v="20586"/>
    <n v="1"/>
    <s v="Y"/>
    <x v="0"/>
    <n v="11"/>
    <x v="0"/>
    <n v="1"/>
    <n v="80"/>
    <x v="0"/>
    <n v="5"/>
    <x v="2"/>
    <x v="1"/>
    <n v="5"/>
    <n v="4"/>
    <x v="1"/>
    <n v="2"/>
  </r>
  <r>
    <n v="38"/>
    <x v="1"/>
    <x v="0"/>
    <n v="1495"/>
    <x v="1"/>
    <x v="18"/>
    <x v="0"/>
    <s v="Medical"/>
    <n v="1"/>
    <n v="1687"/>
    <n v="4"/>
    <x v="0"/>
    <n v="87"/>
    <x v="0"/>
    <n v="1"/>
    <x v="2"/>
    <n v="3"/>
    <x v="1"/>
    <n v="3306"/>
    <n v="26176"/>
    <n v="7"/>
    <s v="Y"/>
    <x v="1"/>
    <n v="19"/>
    <x v="0"/>
    <n v="4"/>
    <n v="80"/>
    <x v="1"/>
    <n v="7"/>
    <x v="3"/>
    <x v="2"/>
    <n v="0"/>
    <n v="0"/>
    <x v="0"/>
    <n v="0"/>
  </r>
  <r>
    <n v="53"/>
    <x v="1"/>
    <x v="0"/>
    <n v="1395"/>
    <x v="1"/>
    <x v="4"/>
    <x v="2"/>
    <s v="Medical"/>
    <n v="1"/>
    <n v="1689"/>
    <n v="2"/>
    <x v="1"/>
    <n v="48"/>
    <x v="2"/>
    <n v="3"/>
    <x v="4"/>
    <n v="4"/>
    <x v="1"/>
    <n v="7005"/>
    <n v="3458"/>
    <n v="3"/>
    <s v="Y"/>
    <x v="1"/>
    <n v="15"/>
    <x v="0"/>
    <n v="3"/>
    <n v="80"/>
    <x v="0"/>
    <n v="11"/>
    <x v="2"/>
    <x v="1"/>
    <n v="4"/>
    <n v="3"/>
    <x v="1"/>
    <n v="2"/>
  </r>
  <r>
    <n v="48"/>
    <x v="0"/>
    <x v="1"/>
    <n v="708"/>
    <x v="0"/>
    <x v="15"/>
    <x v="0"/>
    <s v="Medical"/>
    <n v="1"/>
    <n v="1691"/>
    <n v="4"/>
    <x v="0"/>
    <n v="95"/>
    <x v="0"/>
    <n v="1"/>
    <x v="6"/>
    <n v="3"/>
    <x v="1"/>
    <n v="2655"/>
    <n v="11740"/>
    <n v="2"/>
    <s v="Y"/>
    <x v="0"/>
    <n v="11"/>
    <x v="0"/>
    <n v="3"/>
    <n v="80"/>
    <x v="3"/>
    <n v="19"/>
    <x v="1"/>
    <x v="1"/>
    <n v="9"/>
    <n v="7"/>
    <x v="4"/>
    <n v="7"/>
  </r>
  <r>
    <n v="32"/>
    <x v="0"/>
    <x v="0"/>
    <n v="1259"/>
    <x v="1"/>
    <x v="2"/>
    <x v="2"/>
    <s v="Life Sciences"/>
    <n v="1"/>
    <n v="1692"/>
    <n v="4"/>
    <x v="1"/>
    <n v="95"/>
    <x v="0"/>
    <n v="1"/>
    <x v="2"/>
    <n v="2"/>
    <x v="0"/>
    <n v="1393"/>
    <n v="24852"/>
    <n v="1"/>
    <s v="Y"/>
    <x v="1"/>
    <n v="12"/>
    <x v="0"/>
    <n v="1"/>
    <n v="80"/>
    <x v="0"/>
    <n v="1"/>
    <x v="2"/>
    <x v="1"/>
    <n v="1"/>
    <n v="0"/>
    <x v="0"/>
    <n v="0"/>
  </r>
  <r>
    <n v="26"/>
    <x v="1"/>
    <x v="2"/>
    <n v="786"/>
    <x v="1"/>
    <x v="15"/>
    <x v="3"/>
    <s v="Medical"/>
    <n v="1"/>
    <n v="1693"/>
    <n v="4"/>
    <x v="1"/>
    <n v="76"/>
    <x v="0"/>
    <n v="1"/>
    <x v="2"/>
    <n v="4"/>
    <x v="0"/>
    <n v="2570"/>
    <n v="11925"/>
    <n v="1"/>
    <s v="Y"/>
    <x v="1"/>
    <n v="20"/>
    <x v="1"/>
    <n v="3"/>
    <n v="80"/>
    <x v="0"/>
    <n v="7"/>
    <x v="3"/>
    <x v="1"/>
    <n v="7"/>
    <n v="7"/>
    <x v="8"/>
    <n v="7"/>
  </r>
  <r>
    <n v="55"/>
    <x v="1"/>
    <x v="0"/>
    <n v="1441"/>
    <x v="1"/>
    <x v="23"/>
    <x v="3"/>
    <s v="Technical Degree"/>
    <n v="1"/>
    <n v="1694"/>
    <n v="1"/>
    <x v="1"/>
    <n v="94"/>
    <x v="1"/>
    <n v="1"/>
    <x v="1"/>
    <n v="2"/>
    <x v="2"/>
    <n v="3537"/>
    <n v="23737"/>
    <n v="5"/>
    <s v="Y"/>
    <x v="1"/>
    <n v="12"/>
    <x v="0"/>
    <n v="4"/>
    <n v="80"/>
    <x v="1"/>
    <n v="8"/>
    <x v="4"/>
    <x v="1"/>
    <n v="4"/>
    <n v="2"/>
    <x v="1"/>
    <n v="2"/>
  </r>
  <r>
    <n v="34"/>
    <x v="1"/>
    <x v="0"/>
    <n v="1157"/>
    <x v="1"/>
    <x v="12"/>
    <x v="0"/>
    <s v="Medical"/>
    <n v="1"/>
    <n v="1696"/>
    <n v="2"/>
    <x v="1"/>
    <n v="57"/>
    <x v="1"/>
    <n v="2"/>
    <x v="2"/>
    <n v="4"/>
    <x v="1"/>
    <n v="3986"/>
    <n v="11912"/>
    <n v="1"/>
    <s v="Y"/>
    <x v="1"/>
    <n v="14"/>
    <x v="0"/>
    <n v="3"/>
    <n v="80"/>
    <x v="1"/>
    <n v="15"/>
    <x v="1"/>
    <x v="3"/>
    <n v="15"/>
    <n v="10"/>
    <x v="5"/>
    <n v="13"/>
  </r>
  <r>
    <n v="60"/>
    <x v="1"/>
    <x v="0"/>
    <n v="370"/>
    <x v="1"/>
    <x v="0"/>
    <x v="2"/>
    <s v="Medical"/>
    <n v="1"/>
    <n v="1697"/>
    <n v="3"/>
    <x v="1"/>
    <n v="92"/>
    <x v="3"/>
    <n v="3"/>
    <x v="4"/>
    <n v="4"/>
    <x v="2"/>
    <n v="10883"/>
    <n v="20467"/>
    <n v="3"/>
    <s v="Y"/>
    <x v="1"/>
    <n v="20"/>
    <x v="1"/>
    <n v="3"/>
    <n v="80"/>
    <x v="1"/>
    <n v="19"/>
    <x v="2"/>
    <x v="3"/>
    <n v="1"/>
    <n v="0"/>
    <x v="0"/>
    <n v="0"/>
  </r>
  <r>
    <n v="33"/>
    <x v="1"/>
    <x v="0"/>
    <n v="267"/>
    <x v="1"/>
    <x v="11"/>
    <x v="3"/>
    <s v="Medical"/>
    <n v="1"/>
    <n v="1698"/>
    <n v="2"/>
    <x v="1"/>
    <n v="79"/>
    <x v="2"/>
    <n v="1"/>
    <x v="2"/>
    <n v="2"/>
    <x v="1"/>
    <n v="2028"/>
    <n v="13637"/>
    <n v="1"/>
    <s v="Y"/>
    <x v="1"/>
    <n v="18"/>
    <x v="0"/>
    <n v="4"/>
    <n v="80"/>
    <x v="2"/>
    <n v="14"/>
    <x v="6"/>
    <x v="1"/>
    <n v="14"/>
    <n v="11"/>
    <x v="3"/>
    <n v="13"/>
  </r>
  <r>
    <n v="37"/>
    <x v="1"/>
    <x v="1"/>
    <n v="1278"/>
    <x v="0"/>
    <x v="0"/>
    <x v="2"/>
    <s v="Medical"/>
    <n v="1"/>
    <n v="1700"/>
    <n v="3"/>
    <x v="1"/>
    <n v="31"/>
    <x v="3"/>
    <n v="2"/>
    <x v="0"/>
    <n v="4"/>
    <x v="2"/>
    <n v="9525"/>
    <n v="7677"/>
    <n v="1"/>
    <s v="Y"/>
    <x v="1"/>
    <n v="14"/>
    <x v="0"/>
    <n v="3"/>
    <n v="80"/>
    <x v="3"/>
    <n v="6"/>
    <x v="2"/>
    <x v="2"/>
    <n v="6"/>
    <n v="3"/>
    <x v="1"/>
    <n v="3"/>
  </r>
  <r>
    <n v="34"/>
    <x v="1"/>
    <x v="0"/>
    <n v="678"/>
    <x v="1"/>
    <x v="10"/>
    <x v="3"/>
    <s v="Life Sciences"/>
    <n v="1"/>
    <n v="1701"/>
    <n v="2"/>
    <x v="0"/>
    <n v="35"/>
    <x v="1"/>
    <n v="1"/>
    <x v="1"/>
    <n v="4"/>
    <x v="1"/>
    <n v="2929"/>
    <n v="20338"/>
    <n v="1"/>
    <s v="Y"/>
    <x v="1"/>
    <n v="12"/>
    <x v="0"/>
    <n v="2"/>
    <n v="80"/>
    <x v="0"/>
    <n v="10"/>
    <x v="1"/>
    <x v="1"/>
    <n v="10"/>
    <n v="9"/>
    <x v="6"/>
    <n v="7"/>
  </r>
  <r>
    <n v="23"/>
    <x v="0"/>
    <x v="0"/>
    <n v="427"/>
    <x v="0"/>
    <x v="15"/>
    <x v="3"/>
    <s v="Life Sciences"/>
    <n v="1"/>
    <n v="1702"/>
    <n v="3"/>
    <x v="1"/>
    <n v="99"/>
    <x v="0"/>
    <n v="1"/>
    <x v="6"/>
    <n v="4"/>
    <x v="2"/>
    <n v="2275"/>
    <n v="25103"/>
    <n v="1"/>
    <s v="Y"/>
    <x v="0"/>
    <n v="21"/>
    <x v="1"/>
    <n v="2"/>
    <n v="80"/>
    <x v="1"/>
    <n v="3"/>
    <x v="2"/>
    <x v="1"/>
    <n v="3"/>
    <n v="2"/>
    <x v="0"/>
    <n v="2"/>
  </r>
  <r>
    <n v="44"/>
    <x v="1"/>
    <x v="0"/>
    <n v="921"/>
    <x v="1"/>
    <x v="2"/>
    <x v="3"/>
    <s v="Life Sciences"/>
    <n v="1"/>
    <n v="1703"/>
    <n v="3"/>
    <x v="0"/>
    <n v="96"/>
    <x v="2"/>
    <n v="3"/>
    <x v="4"/>
    <n v="4"/>
    <x v="1"/>
    <n v="7879"/>
    <n v="14810"/>
    <n v="1"/>
    <s v="Y"/>
    <x v="0"/>
    <n v="19"/>
    <x v="0"/>
    <n v="2"/>
    <n v="80"/>
    <x v="1"/>
    <n v="9"/>
    <x v="2"/>
    <x v="1"/>
    <n v="8"/>
    <n v="7"/>
    <x v="7"/>
    <n v="7"/>
  </r>
  <r>
    <n v="35"/>
    <x v="1"/>
    <x v="1"/>
    <n v="146"/>
    <x v="1"/>
    <x v="2"/>
    <x v="2"/>
    <s v="Medical"/>
    <n v="1"/>
    <n v="1704"/>
    <n v="1"/>
    <x v="1"/>
    <n v="79"/>
    <x v="1"/>
    <n v="1"/>
    <x v="1"/>
    <n v="4"/>
    <x v="0"/>
    <n v="4930"/>
    <n v="13970"/>
    <n v="0"/>
    <s v="Y"/>
    <x v="0"/>
    <n v="14"/>
    <x v="0"/>
    <n v="3"/>
    <n v="80"/>
    <x v="0"/>
    <n v="6"/>
    <x v="2"/>
    <x v="3"/>
    <n v="5"/>
    <n v="4"/>
    <x v="1"/>
    <n v="4"/>
  </r>
  <r>
    <n v="43"/>
    <x v="1"/>
    <x v="0"/>
    <n v="1179"/>
    <x v="0"/>
    <x v="2"/>
    <x v="3"/>
    <s v="Medical"/>
    <n v="1"/>
    <n v="1706"/>
    <n v="4"/>
    <x v="1"/>
    <n v="73"/>
    <x v="0"/>
    <n v="2"/>
    <x v="0"/>
    <n v="4"/>
    <x v="1"/>
    <n v="7847"/>
    <n v="6069"/>
    <n v="1"/>
    <s v="Y"/>
    <x v="0"/>
    <n v="17"/>
    <x v="0"/>
    <n v="1"/>
    <n v="80"/>
    <x v="1"/>
    <n v="10"/>
    <x v="1"/>
    <x v="1"/>
    <n v="10"/>
    <n v="9"/>
    <x v="6"/>
    <n v="8"/>
  </r>
  <r>
    <n v="24"/>
    <x v="1"/>
    <x v="0"/>
    <n v="581"/>
    <x v="1"/>
    <x v="14"/>
    <x v="3"/>
    <s v="Medical"/>
    <n v="1"/>
    <n v="1707"/>
    <n v="3"/>
    <x v="1"/>
    <n v="62"/>
    <x v="2"/>
    <n v="1"/>
    <x v="1"/>
    <n v="3"/>
    <x v="1"/>
    <n v="4401"/>
    <n v="17616"/>
    <n v="1"/>
    <s v="Y"/>
    <x v="1"/>
    <n v="16"/>
    <x v="0"/>
    <n v="4"/>
    <n v="80"/>
    <x v="1"/>
    <n v="5"/>
    <x v="4"/>
    <x v="1"/>
    <n v="5"/>
    <n v="3"/>
    <x v="0"/>
    <n v="4"/>
  </r>
  <r>
    <n v="41"/>
    <x v="1"/>
    <x v="0"/>
    <n v="918"/>
    <x v="0"/>
    <x v="16"/>
    <x v="3"/>
    <s v="Marketing"/>
    <n v="1"/>
    <n v="1708"/>
    <n v="4"/>
    <x v="1"/>
    <n v="35"/>
    <x v="0"/>
    <n v="3"/>
    <x v="0"/>
    <n v="3"/>
    <x v="0"/>
    <n v="9241"/>
    <n v="15869"/>
    <n v="1"/>
    <s v="Y"/>
    <x v="1"/>
    <n v="12"/>
    <x v="0"/>
    <n v="2"/>
    <n v="80"/>
    <x v="0"/>
    <n v="10"/>
    <x v="1"/>
    <x v="1"/>
    <n v="10"/>
    <n v="8"/>
    <x v="6"/>
    <n v="7"/>
  </r>
  <r>
    <n v="29"/>
    <x v="1"/>
    <x v="0"/>
    <n v="1082"/>
    <x v="1"/>
    <x v="14"/>
    <x v="2"/>
    <s v="Medical"/>
    <n v="1"/>
    <n v="1709"/>
    <n v="4"/>
    <x v="0"/>
    <n v="43"/>
    <x v="0"/>
    <n v="1"/>
    <x v="2"/>
    <n v="3"/>
    <x v="1"/>
    <n v="2974"/>
    <n v="25412"/>
    <n v="9"/>
    <s v="Y"/>
    <x v="1"/>
    <n v="17"/>
    <x v="0"/>
    <n v="3"/>
    <n v="80"/>
    <x v="1"/>
    <n v="9"/>
    <x v="2"/>
    <x v="1"/>
    <n v="5"/>
    <n v="3"/>
    <x v="1"/>
    <n v="2"/>
  </r>
  <r>
    <n v="36"/>
    <x v="1"/>
    <x v="0"/>
    <n v="530"/>
    <x v="0"/>
    <x v="2"/>
    <x v="2"/>
    <s v="Life Sciences"/>
    <n v="1"/>
    <n v="1710"/>
    <n v="3"/>
    <x v="0"/>
    <n v="51"/>
    <x v="0"/>
    <n v="2"/>
    <x v="6"/>
    <n v="4"/>
    <x v="0"/>
    <n v="4502"/>
    <n v="7439"/>
    <n v="3"/>
    <s v="Y"/>
    <x v="1"/>
    <n v="15"/>
    <x v="0"/>
    <n v="3"/>
    <n v="80"/>
    <x v="0"/>
    <n v="17"/>
    <x v="2"/>
    <x v="2"/>
    <n v="13"/>
    <n v="7"/>
    <x v="7"/>
    <n v="7"/>
  </r>
  <r>
    <n v="45"/>
    <x v="1"/>
    <x v="2"/>
    <n v="1238"/>
    <x v="1"/>
    <x v="0"/>
    <x v="1"/>
    <s v="Life Sciences"/>
    <n v="1"/>
    <n v="1712"/>
    <n v="3"/>
    <x v="1"/>
    <n v="74"/>
    <x v="1"/>
    <n v="3"/>
    <x v="4"/>
    <n v="3"/>
    <x v="1"/>
    <n v="10748"/>
    <n v="3395"/>
    <n v="3"/>
    <s v="Y"/>
    <x v="1"/>
    <n v="23"/>
    <x v="1"/>
    <n v="4"/>
    <n v="80"/>
    <x v="1"/>
    <n v="25"/>
    <x v="1"/>
    <x v="2"/>
    <n v="23"/>
    <n v="15"/>
    <x v="15"/>
    <n v="4"/>
  </r>
  <r>
    <n v="24"/>
    <x v="0"/>
    <x v="0"/>
    <n v="240"/>
    <x v="2"/>
    <x v="23"/>
    <x v="1"/>
    <s v="Human Resources"/>
    <n v="1"/>
    <n v="1714"/>
    <n v="4"/>
    <x v="1"/>
    <n v="58"/>
    <x v="3"/>
    <n v="1"/>
    <x v="8"/>
    <n v="3"/>
    <x v="1"/>
    <n v="1555"/>
    <n v="11585"/>
    <n v="1"/>
    <s v="Y"/>
    <x v="1"/>
    <n v="11"/>
    <x v="0"/>
    <n v="3"/>
    <n v="80"/>
    <x v="1"/>
    <n v="1"/>
    <x v="2"/>
    <x v="1"/>
    <n v="1"/>
    <n v="0"/>
    <x v="0"/>
    <n v="0"/>
  </r>
  <r>
    <n v="47"/>
    <x v="0"/>
    <x v="1"/>
    <n v="1093"/>
    <x v="0"/>
    <x v="14"/>
    <x v="3"/>
    <s v="Life Sciences"/>
    <n v="1"/>
    <n v="1716"/>
    <n v="3"/>
    <x v="1"/>
    <n v="82"/>
    <x v="3"/>
    <n v="4"/>
    <x v="0"/>
    <n v="3"/>
    <x v="1"/>
    <n v="12936"/>
    <n v="24164"/>
    <n v="7"/>
    <s v="Y"/>
    <x v="1"/>
    <n v="11"/>
    <x v="0"/>
    <n v="3"/>
    <n v="80"/>
    <x v="0"/>
    <n v="25"/>
    <x v="1"/>
    <x v="0"/>
    <n v="23"/>
    <n v="5"/>
    <x v="15"/>
    <n v="10"/>
  </r>
  <r>
    <n v="26"/>
    <x v="1"/>
    <x v="0"/>
    <n v="390"/>
    <x v="1"/>
    <x v="27"/>
    <x v="2"/>
    <s v="Medical"/>
    <n v="1"/>
    <n v="1718"/>
    <n v="4"/>
    <x v="1"/>
    <n v="62"/>
    <x v="3"/>
    <n v="1"/>
    <x v="2"/>
    <n v="3"/>
    <x v="1"/>
    <n v="2305"/>
    <n v="6217"/>
    <n v="1"/>
    <s v="Y"/>
    <x v="1"/>
    <n v="15"/>
    <x v="0"/>
    <n v="3"/>
    <n v="80"/>
    <x v="2"/>
    <n v="3"/>
    <x v="1"/>
    <x v="3"/>
    <n v="3"/>
    <n v="2"/>
    <x v="0"/>
    <n v="2"/>
  </r>
  <r>
    <n v="45"/>
    <x v="1"/>
    <x v="0"/>
    <n v="1005"/>
    <x v="1"/>
    <x v="26"/>
    <x v="0"/>
    <s v="Technical Degree"/>
    <n v="1"/>
    <n v="1719"/>
    <n v="4"/>
    <x v="0"/>
    <n v="48"/>
    <x v="1"/>
    <n v="4"/>
    <x v="7"/>
    <n v="2"/>
    <x v="0"/>
    <n v="16704"/>
    <n v="17119"/>
    <n v="1"/>
    <s v="Y"/>
    <x v="1"/>
    <n v="11"/>
    <x v="0"/>
    <n v="3"/>
    <n v="80"/>
    <x v="0"/>
    <n v="21"/>
    <x v="2"/>
    <x v="1"/>
    <n v="21"/>
    <n v="6"/>
    <x v="6"/>
    <n v="6"/>
  </r>
  <r>
    <n v="32"/>
    <x v="1"/>
    <x v="1"/>
    <n v="585"/>
    <x v="1"/>
    <x v="17"/>
    <x v="3"/>
    <s v="Life Sciences"/>
    <n v="1"/>
    <n v="1720"/>
    <n v="1"/>
    <x v="1"/>
    <n v="56"/>
    <x v="0"/>
    <n v="1"/>
    <x v="1"/>
    <n v="3"/>
    <x v="1"/>
    <n v="3433"/>
    <n v="17360"/>
    <n v="6"/>
    <s v="Y"/>
    <x v="1"/>
    <n v="13"/>
    <x v="0"/>
    <n v="1"/>
    <n v="80"/>
    <x v="1"/>
    <n v="10"/>
    <x v="1"/>
    <x v="2"/>
    <n v="5"/>
    <n v="2"/>
    <x v="1"/>
    <n v="3"/>
  </r>
  <r>
    <n v="31"/>
    <x v="1"/>
    <x v="0"/>
    <n v="741"/>
    <x v="1"/>
    <x v="2"/>
    <x v="2"/>
    <s v="Life Sciences"/>
    <n v="1"/>
    <n v="1721"/>
    <n v="2"/>
    <x v="1"/>
    <n v="69"/>
    <x v="0"/>
    <n v="1"/>
    <x v="2"/>
    <n v="3"/>
    <x v="1"/>
    <n v="3477"/>
    <n v="18103"/>
    <n v="1"/>
    <s v="Y"/>
    <x v="1"/>
    <n v="14"/>
    <x v="0"/>
    <n v="4"/>
    <n v="80"/>
    <x v="1"/>
    <n v="6"/>
    <x v="2"/>
    <x v="3"/>
    <n v="5"/>
    <n v="2"/>
    <x v="0"/>
    <n v="3"/>
  </r>
  <r>
    <n v="41"/>
    <x v="1"/>
    <x v="2"/>
    <n v="552"/>
    <x v="2"/>
    <x v="18"/>
    <x v="3"/>
    <s v="Human Resources"/>
    <n v="1"/>
    <n v="1722"/>
    <n v="3"/>
    <x v="1"/>
    <n v="60"/>
    <x v="3"/>
    <n v="2"/>
    <x v="8"/>
    <n v="2"/>
    <x v="1"/>
    <n v="6430"/>
    <n v="20794"/>
    <n v="6"/>
    <s v="Y"/>
    <x v="1"/>
    <n v="19"/>
    <x v="0"/>
    <n v="2"/>
    <n v="80"/>
    <x v="1"/>
    <n v="10"/>
    <x v="5"/>
    <x v="1"/>
    <n v="3"/>
    <n v="2"/>
    <x v="1"/>
    <n v="2"/>
  </r>
  <r>
    <n v="40"/>
    <x v="1"/>
    <x v="0"/>
    <n v="369"/>
    <x v="1"/>
    <x v="1"/>
    <x v="0"/>
    <s v="Life Sciences"/>
    <n v="1"/>
    <n v="1724"/>
    <n v="2"/>
    <x v="0"/>
    <n v="92"/>
    <x v="0"/>
    <n v="2"/>
    <x v="3"/>
    <n v="1"/>
    <x v="1"/>
    <n v="6516"/>
    <n v="5041"/>
    <n v="2"/>
    <s v="Y"/>
    <x v="0"/>
    <n v="16"/>
    <x v="0"/>
    <n v="2"/>
    <n v="80"/>
    <x v="1"/>
    <n v="18"/>
    <x v="1"/>
    <x v="1"/>
    <n v="1"/>
    <n v="0"/>
    <x v="0"/>
    <n v="0"/>
  </r>
  <r>
    <n v="24"/>
    <x v="1"/>
    <x v="0"/>
    <n v="506"/>
    <x v="1"/>
    <x v="22"/>
    <x v="1"/>
    <s v="Medical"/>
    <n v="1"/>
    <n v="1725"/>
    <n v="2"/>
    <x v="1"/>
    <n v="91"/>
    <x v="0"/>
    <n v="1"/>
    <x v="2"/>
    <n v="1"/>
    <x v="2"/>
    <n v="3907"/>
    <n v="3622"/>
    <n v="1"/>
    <s v="Y"/>
    <x v="1"/>
    <n v="13"/>
    <x v="0"/>
    <n v="2"/>
    <n v="80"/>
    <x v="2"/>
    <n v="6"/>
    <x v="2"/>
    <x v="3"/>
    <n v="6"/>
    <n v="2"/>
    <x v="1"/>
    <n v="2"/>
  </r>
  <r>
    <n v="46"/>
    <x v="1"/>
    <x v="0"/>
    <n v="717"/>
    <x v="1"/>
    <x v="28"/>
    <x v="2"/>
    <s v="Life Sciences"/>
    <n v="1"/>
    <n v="1727"/>
    <n v="3"/>
    <x v="1"/>
    <n v="34"/>
    <x v="0"/>
    <n v="2"/>
    <x v="4"/>
    <n v="2"/>
    <x v="0"/>
    <n v="5562"/>
    <n v="9697"/>
    <n v="6"/>
    <s v="Y"/>
    <x v="1"/>
    <n v="14"/>
    <x v="0"/>
    <n v="4"/>
    <n v="80"/>
    <x v="0"/>
    <n v="19"/>
    <x v="1"/>
    <x v="1"/>
    <n v="10"/>
    <n v="7"/>
    <x v="0"/>
    <n v="9"/>
  </r>
  <r>
    <n v="35"/>
    <x v="1"/>
    <x v="0"/>
    <n v="1370"/>
    <x v="1"/>
    <x v="6"/>
    <x v="2"/>
    <s v="Life Sciences"/>
    <n v="1"/>
    <n v="1728"/>
    <n v="4"/>
    <x v="1"/>
    <n v="49"/>
    <x v="0"/>
    <n v="2"/>
    <x v="3"/>
    <n v="3"/>
    <x v="1"/>
    <n v="6883"/>
    <n v="5151"/>
    <n v="2"/>
    <s v="Y"/>
    <x v="1"/>
    <n v="16"/>
    <x v="0"/>
    <n v="2"/>
    <n v="80"/>
    <x v="1"/>
    <n v="17"/>
    <x v="1"/>
    <x v="1"/>
    <n v="7"/>
    <n v="7"/>
    <x v="0"/>
    <n v="7"/>
  </r>
  <r>
    <n v="30"/>
    <x v="1"/>
    <x v="0"/>
    <n v="793"/>
    <x v="1"/>
    <x v="7"/>
    <x v="1"/>
    <s v="Life Sciences"/>
    <n v="1"/>
    <n v="1729"/>
    <n v="2"/>
    <x v="1"/>
    <n v="33"/>
    <x v="0"/>
    <n v="1"/>
    <x v="1"/>
    <n v="4"/>
    <x v="1"/>
    <n v="2862"/>
    <n v="3811"/>
    <n v="1"/>
    <s v="Y"/>
    <x v="1"/>
    <n v="12"/>
    <x v="0"/>
    <n v="2"/>
    <n v="80"/>
    <x v="1"/>
    <n v="10"/>
    <x v="2"/>
    <x v="2"/>
    <n v="10"/>
    <n v="0"/>
    <x v="0"/>
    <n v="8"/>
  </r>
  <r>
    <n v="47"/>
    <x v="1"/>
    <x v="2"/>
    <n v="543"/>
    <x v="0"/>
    <x v="2"/>
    <x v="2"/>
    <s v="Marketing"/>
    <n v="1"/>
    <n v="1731"/>
    <n v="3"/>
    <x v="1"/>
    <n v="87"/>
    <x v="0"/>
    <n v="2"/>
    <x v="0"/>
    <n v="2"/>
    <x v="1"/>
    <n v="4978"/>
    <n v="3536"/>
    <n v="7"/>
    <s v="Y"/>
    <x v="1"/>
    <n v="11"/>
    <x v="0"/>
    <n v="4"/>
    <n v="80"/>
    <x v="1"/>
    <n v="4"/>
    <x v="1"/>
    <x v="0"/>
    <n v="1"/>
    <n v="0"/>
    <x v="0"/>
    <n v="0"/>
  </r>
  <r>
    <n v="46"/>
    <x v="1"/>
    <x v="0"/>
    <n v="1277"/>
    <x v="0"/>
    <x v="2"/>
    <x v="3"/>
    <s v="Life Sciences"/>
    <n v="1"/>
    <n v="1732"/>
    <n v="3"/>
    <x v="1"/>
    <n v="74"/>
    <x v="0"/>
    <n v="3"/>
    <x v="0"/>
    <n v="4"/>
    <x v="2"/>
    <n v="10368"/>
    <n v="5596"/>
    <n v="4"/>
    <s v="Y"/>
    <x v="0"/>
    <n v="12"/>
    <x v="0"/>
    <n v="2"/>
    <n v="80"/>
    <x v="1"/>
    <n v="13"/>
    <x v="3"/>
    <x v="2"/>
    <n v="10"/>
    <n v="6"/>
    <x v="0"/>
    <n v="3"/>
  </r>
  <r>
    <n v="36"/>
    <x v="0"/>
    <x v="0"/>
    <n v="1456"/>
    <x v="0"/>
    <x v="28"/>
    <x v="4"/>
    <s v="Marketing"/>
    <n v="1"/>
    <n v="1733"/>
    <n v="2"/>
    <x v="1"/>
    <n v="96"/>
    <x v="1"/>
    <n v="2"/>
    <x v="0"/>
    <n v="1"/>
    <x v="2"/>
    <n v="6134"/>
    <n v="8658"/>
    <n v="5"/>
    <s v="Y"/>
    <x v="0"/>
    <n v="13"/>
    <x v="0"/>
    <n v="2"/>
    <n v="80"/>
    <x v="2"/>
    <n v="16"/>
    <x v="1"/>
    <x v="1"/>
    <n v="2"/>
    <n v="2"/>
    <x v="3"/>
    <n v="2"/>
  </r>
  <r>
    <n v="32"/>
    <x v="0"/>
    <x v="0"/>
    <n v="964"/>
    <x v="0"/>
    <x v="0"/>
    <x v="0"/>
    <s v="Life Sciences"/>
    <n v="1"/>
    <n v="1734"/>
    <n v="1"/>
    <x v="1"/>
    <n v="34"/>
    <x v="3"/>
    <n v="2"/>
    <x v="0"/>
    <n v="2"/>
    <x v="0"/>
    <n v="6735"/>
    <n v="12147"/>
    <n v="6"/>
    <s v="Y"/>
    <x v="1"/>
    <n v="15"/>
    <x v="0"/>
    <n v="2"/>
    <n v="80"/>
    <x v="0"/>
    <n v="10"/>
    <x v="2"/>
    <x v="1"/>
    <n v="0"/>
    <n v="0"/>
    <x v="0"/>
    <n v="0"/>
  </r>
  <r>
    <n v="23"/>
    <x v="1"/>
    <x v="0"/>
    <n v="160"/>
    <x v="1"/>
    <x v="18"/>
    <x v="1"/>
    <s v="Medical"/>
    <n v="1"/>
    <n v="1735"/>
    <n v="3"/>
    <x v="0"/>
    <n v="51"/>
    <x v="0"/>
    <n v="1"/>
    <x v="2"/>
    <n v="2"/>
    <x v="0"/>
    <n v="3295"/>
    <n v="12862"/>
    <n v="1"/>
    <s v="Y"/>
    <x v="1"/>
    <n v="13"/>
    <x v="0"/>
    <n v="3"/>
    <n v="80"/>
    <x v="0"/>
    <n v="3"/>
    <x v="1"/>
    <x v="0"/>
    <n v="3"/>
    <n v="2"/>
    <x v="1"/>
    <n v="2"/>
  </r>
  <r>
    <n v="31"/>
    <x v="1"/>
    <x v="1"/>
    <n v="163"/>
    <x v="1"/>
    <x v="4"/>
    <x v="1"/>
    <s v="Technical Degree"/>
    <n v="1"/>
    <n v="1736"/>
    <n v="4"/>
    <x v="0"/>
    <n v="30"/>
    <x v="0"/>
    <n v="2"/>
    <x v="3"/>
    <n v="4"/>
    <x v="0"/>
    <n v="5238"/>
    <n v="6670"/>
    <n v="2"/>
    <s v="Y"/>
    <x v="1"/>
    <n v="20"/>
    <x v="1"/>
    <n v="4"/>
    <n v="80"/>
    <x v="0"/>
    <n v="9"/>
    <x v="1"/>
    <x v="2"/>
    <n v="5"/>
    <n v="4"/>
    <x v="1"/>
    <n v="4"/>
  </r>
  <r>
    <n v="39"/>
    <x v="1"/>
    <x v="2"/>
    <n v="792"/>
    <x v="1"/>
    <x v="0"/>
    <x v="3"/>
    <s v="Life Sciences"/>
    <n v="1"/>
    <n v="1737"/>
    <n v="4"/>
    <x v="1"/>
    <n v="77"/>
    <x v="0"/>
    <n v="2"/>
    <x v="2"/>
    <n v="4"/>
    <x v="1"/>
    <n v="6472"/>
    <n v="8989"/>
    <n v="1"/>
    <s v="Y"/>
    <x v="0"/>
    <n v="15"/>
    <x v="0"/>
    <n v="4"/>
    <n v="80"/>
    <x v="1"/>
    <n v="9"/>
    <x v="2"/>
    <x v="1"/>
    <n v="9"/>
    <n v="8"/>
    <x v="8"/>
    <n v="8"/>
  </r>
  <r>
    <n v="32"/>
    <x v="1"/>
    <x v="0"/>
    <n v="371"/>
    <x v="0"/>
    <x v="10"/>
    <x v="3"/>
    <s v="Life Sciences"/>
    <n v="1"/>
    <n v="1739"/>
    <n v="4"/>
    <x v="1"/>
    <n v="80"/>
    <x v="3"/>
    <n v="3"/>
    <x v="0"/>
    <n v="3"/>
    <x v="1"/>
    <n v="9610"/>
    <n v="3840"/>
    <n v="3"/>
    <s v="Y"/>
    <x v="1"/>
    <n v="13"/>
    <x v="0"/>
    <n v="3"/>
    <n v="80"/>
    <x v="1"/>
    <n v="10"/>
    <x v="2"/>
    <x v="0"/>
    <n v="4"/>
    <n v="3"/>
    <x v="0"/>
    <n v="2"/>
  </r>
  <r>
    <n v="40"/>
    <x v="1"/>
    <x v="0"/>
    <n v="611"/>
    <x v="0"/>
    <x v="15"/>
    <x v="2"/>
    <s v="Medical"/>
    <n v="1"/>
    <n v="1740"/>
    <n v="2"/>
    <x v="1"/>
    <n v="88"/>
    <x v="0"/>
    <n v="5"/>
    <x v="5"/>
    <n v="2"/>
    <x v="0"/>
    <n v="19833"/>
    <n v="4349"/>
    <n v="1"/>
    <s v="Y"/>
    <x v="1"/>
    <n v="14"/>
    <x v="0"/>
    <n v="2"/>
    <n v="80"/>
    <x v="0"/>
    <n v="21"/>
    <x v="1"/>
    <x v="2"/>
    <n v="21"/>
    <n v="8"/>
    <x v="12"/>
    <n v="8"/>
  </r>
  <r>
    <n v="45"/>
    <x v="1"/>
    <x v="0"/>
    <n v="176"/>
    <x v="2"/>
    <x v="18"/>
    <x v="3"/>
    <s v="Life Sciences"/>
    <n v="1"/>
    <n v="1744"/>
    <n v="3"/>
    <x v="0"/>
    <n v="56"/>
    <x v="3"/>
    <n v="3"/>
    <x v="8"/>
    <n v="3"/>
    <x v="1"/>
    <n v="9756"/>
    <n v="6595"/>
    <n v="4"/>
    <s v="Y"/>
    <x v="1"/>
    <n v="21"/>
    <x v="1"/>
    <n v="3"/>
    <n v="80"/>
    <x v="3"/>
    <n v="9"/>
    <x v="2"/>
    <x v="3"/>
    <n v="5"/>
    <n v="0"/>
    <x v="0"/>
    <n v="3"/>
  </r>
  <r>
    <n v="30"/>
    <x v="1"/>
    <x v="1"/>
    <n v="1312"/>
    <x v="1"/>
    <x v="2"/>
    <x v="2"/>
    <s v="Technical Degree"/>
    <n v="1"/>
    <n v="1745"/>
    <n v="4"/>
    <x v="0"/>
    <n v="78"/>
    <x v="1"/>
    <n v="1"/>
    <x v="1"/>
    <n v="1"/>
    <x v="0"/>
    <n v="4968"/>
    <n v="26427"/>
    <n v="0"/>
    <s v="Y"/>
    <x v="1"/>
    <n v="16"/>
    <x v="0"/>
    <n v="4"/>
    <n v="80"/>
    <x v="0"/>
    <n v="10"/>
    <x v="2"/>
    <x v="1"/>
    <n v="9"/>
    <n v="7"/>
    <x v="0"/>
    <n v="7"/>
  </r>
  <r>
    <n v="24"/>
    <x v="1"/>
    <x v="1"/>
    <n v="897"/>
    <x v="2"/>
    <x v="17"/>
    <x v="3"/>
    <s v="Medical"/>
    <n v="1"/>
    <n v="1746"/>
    <n v="1"/>
    <x v="1"/>
    <n v="59"/>
    <x v="0"/>
    <n v="1"/>
    <x v="8"/>
    <n v="4"/>
    <x v="1"/>
    <n v="2145"/>
    <n v="2097"/>
    <n v="0"/>
    <s v="Y"/>
    <x v="1"/>
    <n v="14"/>
    <x v="0"/>
    <n v="4"/>
    <n v="80"/>
    <x v="1"/>
    <n v="3"/>
    <x v="2"/>
    <x v="1"/>
    <n v="2"/>
    <n v="2"/>
    <x v="3"/>
    <n v="1"/>
  </r>
  <r>
    <n v="30"/>
    <x v="0"/>
    <x v="1"/>
    <n v="600"/>
    <x v="2"/>
    <x v="1"/>
    <x v="3"/>
    <s v="Human Resources"/>
    <n v="1"/>
    <n v="1747"/>
    <n v="3"/>
    <x v="0"/>
    <n v="66"/>
    <x v="1"/>
    <n v="1"/>
    <x v="8"/>
    <n v="4"/>
    <x v="2"/>
    <n v="2180"/>
    <n v="9732"/>
    <n v="6"/>
    <s v="Y"/>
    <x v="1"/>
    <n v="11"/>
    <x v="0"/>
    <n v="3"/>
    <n v="80"/>
    <x v="1"/>
    <n v="6"/>
    <x v="0"/>
    <x v="2"/>
    <n v="4"/>
    <n v="2"/>
    <x v="1"/>
    <n v="2"/>
  </r>
  <r>
    <n v="31"/>
    <x v="1"/>
    <x v="0"/>
    <n v="1003"/>
    <x v="0"/>
    <x v="12"/>
    <x v="3"/>
    <s v="Technical Degree"/>
    <n v="1"/>
    <n v="1749"/>
    <n v="1"/>
    <x v="1"/>
    <n v="51"/>
    <x v="0"/>
    <n v="2"/>
    <x v="0"/>
    <n v="3"/>
    <x v="1"/>
    <n v="8346"/>
    <n v="20943"/>
    <n v="1"/>
    <s v="Y"/>
    <x v="1"/>
    <n v="19"/>
    <x v="0"/>
    <n v="3"/>
    <n v="80"/>
    <x v="1"/>
    <n v="6"/>
    <x v="1"/>
    <x v="1"/>
    <n v="5"/>
    <n v="2"/>
    <x v="0"/>
    <n v="2"/>
  </r>
  <r>
    <n v="27"/>
    <x v="1"/>
    <x v="0"/>
    <n v="1054"/>
    <x v="1"/>
    <x v="1"/>
    <x v="3"/>
    <s v="Medical"/>
    <n v="1"/>
    <n v="1751"/>
    <n v="3"/>
    <x v="0"/>
    <n v="67"/>
    <x v="0"/>
    <n v="1"/>
    <x v="1"/>
    <n v="4"/>
    <x v="0"/>
    <n v="3445"/>
    <n v="6152"/>
    <n v="1"/>
    <s v="Y"/>
    <x v="1"/>
    <n v="11"/>
    <x v="0"/>
    <n v="3"/>
    <n v="80"/>
    <x v="0"/>
    <n v="6"/>
    <x v="3"/>
    <x v="2"/>
    <n v="6"/>
    <n v="2"/>
    <x v="1"/>
    <n v="4"/>
  </r>
  <r>
    <n v="29"/>
    <x v="0"/>
    <x v="0"/>
    <n v="428"/>
    <x v="0"/>
    <x v="14"/>
    <x v="3"/>
    <s v="Marketing"/>
    <n v="1"/>
    <n v="1752"/>
    <n v="2"/>
    <x v="0"/>
    <n v="52"/>
    <x v="3"/>
    <n v="1"/>
    <x v="6"/>
    <n v="2"/>
    <x v="0"/>
    <n v="2760"/>
    <n v="14630"/>
    <n v="1"/>
    <s v="Y"/>
    <x v="1"/>
    <n v="13"/>
    <x v="0"/>
    <n v="3"/>
    <n v="80"/>
    <x v="0"/>
    <n v="2"/>
    <x v="1"/>
    <x v="1"/>
    <n v="2"/>
    <n v="2"/>
    <x v="3"/>
    <n v="2"/>
  </r>
  <r>
    <n v="29"/>
    <x v="1"/>
    <x v="1"/>
    <n v="461"/>
    <x v="1"/>
    <x v="0"/>
    <x v="3"/>
    <s v="Life Sciences"/>
    <n v="1"/>
    <n v="1753"/>
    <n v="4"/>
    <x v="1"/>
    <n v="70"/>
    <x v="2"/>
    <n v="2"/>
    <x v="4"/>
    <n v="3"/>
    <x v="0"/>
    <n v="6294"/>
    <n v="23060"/>
    <n v="8"/>
    <s v="Y"/>
    <x v="0"/>
    <n v="12"/>
    <x v="0"/>
    <n v="4"/>
    <n v="80"/>
    <x v="0"/>
    <n v="10"/>
    <x v="3"/>
    <x v="3"/>
    <n v="3"/>
    <n v="2"/>
    <x v="0"/>
    <n v="2"/>
  </r>
  <r>
    <n v="30"/>
    <x v="1"/>
    <x v="0"/>
    <n v="979"/>
    <x v="0"/>
    <x v="8"/>
    <x v="0"/>
    <s v="Marketing"/>
    <n v="1"/>
    <n v="1754"/>
    <n v="3"/>
    <x v="1"/>
    <n v="94"/>
    <x v="1"/>
    <n v="3"/>
    <x v="0"/>
    <n v="1"/>
    <x v="2"/>
    <n v="7140"/>
    <n v="3088"/>
    <n v="2"/>
    <s v="Y"/>
    <x v="1"/>
    <n v="11"/>
    <x v="0"/>
    <n v="1"/>
    <n v="80"/>
    <x v="1"/>
    <n v="12"/>
    <x v="2"/>
    <x v="1"/>
    <n v="7"/>
    <n v="7"/>
    <x v="1"/>
    <n v="7"/>
  </r>
  <r>
    <n v="34"/>
    <x v="1"/>
    <x v="0"/>
    <n v="181"/>
    <x v="1"/>
    <x v="2"/>
    <x v="2"/>
    <s v="Medical"/>
    <n v="1"/>
    <n v="1755"/>
    <n v="4"/>
    <x v="1"/>
    <n v="97"/>
    <x v="2"/>
    <n v="1"/>
    <x v="1"/>
    <n v="4"/>
    <x v="1"/>
    <n v="2932"/>
    <n v="5586"/>
    <n v="0"/>
    <s v="Y"/>
    <x v="0"/>
    <n v="14"/>
    <x v="0"/>
    <n v="1"/>
    <n v="80"/>
    <x v="2"/>
    <n v="6"/>
    <x v="1"/>
    <x v="1"/>
    <n v="5"/>
    <n v="0"/>
    <x v="1"/>
    <n v="2"/>
  </r>
  <r>
    <n v="33"/>
    <x v="1"/>
    <x v="2"/>
    <n v="1283"/>
    <x v="0"/>
    <x v="2"/>
    <x v="3"/>
    <s v="Marketing"/>
    <n v="1"/>
    <n v="1756"/>
    <n v="4"/>
    <x v="0"/>
    <n v="62"/>
    <x v="0"/>
    <n v="2"/>
    <x v="0"/>
    <n v="2"/>
    <x v="0"/>
    <n v="5147"/>
    <n v="10697"/>
    <n v="8"/>
    <s v="Y"/>
    <x v="1"/>
    <n v="15"/>
    <x v="0"/>
    <n v="4"/>
    <n v="80"/>
    <x v="0"/>
    <n v="13"/>
    <x v="2"/>
    <x v="2"/>
    <n v="11"/>
    <n v="7"/>
    <x v="1"/>
    <n v="7"/>
  </r>
  <r>
    <n v="49"/>
    <x v="1"/>
    <x v="0"/>
    <n v="1313"/>
    <x v="0"/>
    <x v="13"/>
    <x v="2"/>
    <s v="Marketing"/>
    <n v="1"/>
    <n v="1757"/>
    <n v="4"/>
    <x v="0"/>
    <n v="80"/>
    <x v="0"/>
    <n v="2"/>
    <x v="0"/>
    <n v="4"/>
    <x v="0"/>
    <n v="4507"/>
    <n v="8191"/>
    <n v="3"/>
    <s v="Y"/>
    <x v="1"/>
    <n v="12"/>
    <x v="0"/>
    <n v="3"/>
    <n v="80"/>
    <x v="0"/>
    <n v="8"/>
    <x v="4"/>
    <x v="3"/>
    <n v="5"/>
    <n v="1"/>
    <x v="0"/>
    <n v="4"/>
  </r>
  <r>
    <n v="33"/>
    <x v="0"/>
    <x v="0"/>
    <n v="211"/>
    <x v="0"/>
    <x v="7"/>
    <x v="3"/>
    <s v="Life Sciences"/>
    <n v="1"/>
    <n v="1758"/>
    <n v="1"/>
    <x v="0"/>
    <n v="74"/>
    <x v="0"/>
    <n v="3"/>
    <x v="0"/>
    <n v="1"/>
    <x v="0"/>
    <n v="8564"/>
    <n v="10092"/>
    <n v="2"/>
    <s v="Y"/>
    <x v="0"/>
    <n v="20"/>
    <x v="1"/>
    <n v="3"/>
    <n v="80"/>
    <x v="0"/>
    <n v="11"/>
    <x v="2"/>
    <x v="2"/>
    <n v="0"/>
    <n v="0"/>
    <x v="0"/>
    <n v="0"/>
  </r>
  <r>
    <n v="38"/>
    <x v="1"/>
    <x v="1"/>
    <n v="594"/>
    <x v="1"/>
    <x v="2"/>
    <x v="0"/>
    <s v="Medical"/>
    <n v="1"/>
    <n v="1760"/>
    <n v="3"/>
    <x v="0"/>
    <n v="75"/>
    <x v="1"/>
    <n v="1"/>
    <x v="2"/>
    <n v="2"/>
    <x v="1"/>
    <n v="2468"/>
    <n v="15963"/>
    <n v="4"/>
    <s v="Y"/>
    <x v="1"/>
    <n v="14"/>
    <x v="0"/>
    <n v="2"/>
    <n v="80"/>
    <x v="1"/>
    <n v="9"/>
    <x v="5"/>
    <x v="2"/>
    <n v="6"/>
    <n v="1"/>
    <x v="0"/>
    <n v="5"/>
  </r>
  <r>
    <n v="31"/>
    <x v="0"/>
    <x v="0"/>
    <n v="1079"/>
    <x v="0"/>
    <x v="7"/>
    <x v="2"/>
    <s v="Marketing"/>
    <n v="1"/>
    <n v="1761"/>
    <n v="1"/>
    <x v="1"/>
    <n v="70"/>
    <x v="0"/>
    <n v="3"/>
    <x v="0"/>
    <n v="3"/>
    <x v="1"/>
    <n v="8161"/>
    <n v="19002"/>
    <n v="2"/>
    <s v="Y"/>
    <x v="1"/>
    <n v="13"/>
    <x v="0"/>
    <n v="1"/>
    <n v="80"/>
    <x v="2"/>
    <n v="10"/>
    <x v="2"/>
    <x v="1"/>
    <n v="1"/>
    <n v="0"/>
    <x v="0"/>
    <n v="0"/>
  </r>
  <r>
    <n v="29"/>
    <x v="1"/>
    <x v="0"/>
    <n v="590"/>
    <x v="1"/>
    <x v="18"/>
    <x v="3"/>
    <s v="Technical Degree"/>
    <n v="1"/>
    <n v="1762"/>
    <n v="4"/>
    <x v="0"/>
    <n v="91"/>
    <x v="1"/>
    <n v="1"/>
    <x v="1"/>
    <n v="1"/>
    <x v="2"/>
    <n v="2109"/>
    <n v="10007"/>
    <n v="1"/>
    <s v="Y"/>
    <x v="1"/>
    <n v="13"/>
    <x v="0"/>
    <n v="3"/>
    <n v="80"/>
    <x v="1"/>
    <n v="1"/>
    <x v="2"/>
    <x v="1"/>
    <n v="1"/>
    <n v="0"/>
    <x v="0"/>
    <n v="0"/>
  </r>
  <r>
    <n v="30"/>
    <x v="1"/>
    <x v="0"/>
    <n v="305"/>
    <x v="1"/>
    <x v="7"/>
    <x v="3"/>
    <s v="Life Sciences"/>
    <n v="1"/>
    <n v="1763"/>
    <n v="3"/>
    <x v="1"/>
    <n v="58"/>
    <x v="2"/>
    <n v="2"/>
    <x v="4"/>
    <n v="3"/>
    <x v="1"/>
    <n v="5294"/>
    <n v="9128"/>
    <n v="3"/>
    <s v="Y"/>
    <x v="1"/>
    <n v="16"/>
    <x v="0"/>
    <n v="3"/>
    <n v="80"/>
    <x v="1"/>
    <n v="10"/>
    <x v="1"/>
    <x v="1"/>
    <n v="7"/>
    <n v="0"/>
    <x v="1"/>
    <n v="7"/>
  </r>
  <r>
    <n v="32"/>
    <x v="1"/>
    <x v="2"/>
    <n v="953"/>
    <x v="1"/>
    <x v="12"/>
    <x v="2"/>
    <s v="Technical Degree"/>
    <n v="1"/>
    <n v="1764"/>
    <n v="2"/>
    <x v="1"/>
    <n v="65"/>
    <x v="0"/>
    <n v="1"/>
    <x v="1"/>
    <n v="2"/>
    <x v="0"/>
    <n v="2718"/>
    <n v="17674"/>
    <n v="2"/>
    <s v="Y"/>
    <x v="1"/>
    <n v="14"/>
    <x v="0"/>
    <n v="2"/>
    <n v="80"/>
    <x v="0"/>
    <n v="12"/>
    <x v="1"/>
    <x v="1"/>
    <n v="7"/>
    <n v="7"/>
    <x v="0"/>
    <n v="7"/>
  </r>
  <r>
    <n v="38"/>
    <x v="1"/>
    <x v="0"/>
    <n v="833"/>
    <x v="1"/>
    <x v="21"/>
    <x v="3"/>
    <s v="Medical"/>
    <n v="1"/>
    <n v="1766"/>
    <n v="2"/>
    <x v="1"/>
    <n v="60"/>
    <x v="3"/>
    <n v="2"/>
    <x v="4"/>
    <n v="4"/>
    <x v="1"/>
    <n v="5811"/>
    <n v="24539"/>
    <n v="3"/>
    <s v="Y"/>
    <x v="0"/>
    <n v="16"/>
    <x v="0"/>
    <n v="3"/>
    <n v="80"/>
    <x v="1"/>
    <n v="15"/>
    <x v="2"/>
    <x v="1"/>
    <n v="1"/>
    <n v="0"/>
    <x v="1"/>
    <n v="0"/>
  </r>
  <r>
    <n v="43"/>
    <x v="0"/>
    <x v="1"/>
    <n v="807"/>
    <x v="1"/>
    <x v="27"/>
    <x v="3"/>
    <s v="Technical Degree"/>
    <n v="1"/>
    <n v="1767"/>
    <n v="3"/>
    <x v="1"/>
    <n v="38"/>
    <x v="1"/>
    <n v="1"/>
    <x v="1"/>
    <n v="3"/>
    <x v="1"/>
    <n v="2437"/>
    <n v="15587"/>
    <n v="9"/>
    <s v="Y"/>
    <x v="0"/>
    <n v="16"/>
    <x v="0"/>
    <n v="4"/>
    <n v="80"/>
    <x v="1"/>
    <n v="6"/>
    <x v="5"/>
    <x v="1"/>
    <n v="1"/>
    <n v="0"/>
    <x v="0"/>
    <n v="0"/>
  </r>
  <r>
    <n v="42"/>
    <x v="1"/>
    <x v="0"/>
    <n v="855"/>
    <x v="1"/>
    <x v="20"/>
    <x v="3"/>
    <s v="Medical"/>
    <n v="1"/>
    <n v="1768"/>
    <n v="2"/>
    <x v="1"/>
    <n v="57"/>
    <x v="0"/>
    <n v="1"/>
    <x v="2"/>
    <n v="2"/>
    <x v="2"/>
    <n v="2766"/>
    <n v="8952"/>
    <n v="8"/>
    <s v="Y"/>
    <x v="1"/>
    <n v="22"/>
    <x v="1"/>
    <n v="2"/>
    <n v="80"/>
    <x v="2"/>
    <n v="7"/>
    <x v="6"/>
    <x v="2"/>
    <n v="5"/>
    <n v="3"/>
    <x v="0"/>
    <n v="4"/>
  </r>
  <r>
    <n v="55"/>
    <x v="1"/>
    <x v="0"/>
    <n v="478"/>
    <x v="1"/>
    <x v="2"/>
    <x v="3"/>
    <s v="Medical"/>
    <n v="1"/>
    <n v="1770"/>
    <n v="3"/>
    <x v="1"/>
    <n v="60"/>
    <x v="1"/>
    <n v="5"/>
    <x v="7"/>
    <n v="1"/>
    <x v="1"/>
    <n v="19038"/>
    <n v="19805"/>
    <n v="8"/>
    <s v="Y"/>
    <x v="1"/>
    <n v="12"/>
    <x v="0"/>
    <n v="2"/>
    <n v="80"/>
    <x v="2"/>
    <n v="34"/>
    <x v="2"/>
    <x v="1"/>
    <n v="1"/>
    <n v="0"/>
    <x v="0"/>
    <n v="0"/>
  </r>
  <r>
    <n v="33"/>
    <x v="1"/>
    <x v="2"/>
    <n v="775"/>
    <x v="1"/>
    <x v="18"/>
    <x v="3"/>
    <s v="Technical Degree"/>
    <n v="1"/>
    <n v="1771"/>
    <n v="4"/>
    <x v="1"/>
    <n v="90"/>
    <x v="0"/>
    <n v="2"/>
    <x v="1"/>
    <n v="2"/>
    <x v="2"/>
    <n v="3055"/>
    <n v="6194"/>
    <n v="5"/>
    <s v="Y"/>
    <x v="1"/>
    <n v="15"/>
    <x v="0"/>
    <n v="4"/>
    <n v="80"/>
    <x v="3"/>
    <n v="11"/>
    <x v="2"/>
    <x v="2"/>
    <n v="9"/>
    <n v="8"/>
    <x v="1"/>
    <n v="7"/>
  </r>
  <r>
    <n v="41"/>
    <x v="1"/>
    <x v="0"/>
    <n v="548"/>
    <x v="1"/>
    <x v="14"/>
    <x v="2"/>
    <s v="Life Sciences"/>
    <n v="1"/>
    <n v="1772"/>
    <n v="3"/>
    <x v="1"/>
    <n v="94"/>
    <x v="0"/>
    <n v="1"/>
    <x v="2"/>
    <n v="1"/>
    <x v="2"/>
    <n v="2289"/>
    <n v="20520"/>
    <n v="1"/>
    <s v="Y"/>
    <x v="1"/>
    <n v="20"/>
    <x v="1"/>
    <n v="2"/>
    <n v="80"/>
    <x v="3"/>
    <n v="5"/>
    <x v="2"/>
    <x v="1"/>
    <n v="5"/>
    <n v="3"/>
    <x v="0"/>
    <n v="4"/>
  </r>
  <r>
    <n v="34"/>
    <x v="1"/>
    <x v="2"/>
    <n v="1375"/>
    <x v="0"/>
    <x v="17"/>
    <x v="3"/>
    <s v="Life Sciences"/>
    <n v="1"/>
    <n v="1774"/>
    <n v="4"/>
    <x v="1"/>
    <n v="87"/>
    <x v="0"/>
    <n v="2"/>
    <x v="0"/>
    <n v="3"/>
    <x v="2"/>
    <n v="4001"/>
    <n v="12313"/>
    <n v="1"/>
    <s v="Y"/>
    <x v="0"/>
    <n v="14"/>
    <x v="0"/>
    <n v="3"/>
    <n v="80"/>
    <x v="1"/>
    <n v="15"/>
    <x v="1"/>
    <x v="1"/>
    <n v="15"/>
    <n v="14"/>
    <x v="0"/>
    <n v="7"/>
  </r>
  <r>
    <n v="53"/>
    <x v="1"/>
    <x v="2"/>
    <n v="661"/>
    <x v="1"/>
    <x v="0"/>
    <x v="2"/>
    <s v="Medical"/>
    <n v="1"/>
    <n v="1775"/>
    <n v="1"/>
    <x v="0"/>
    <n v="60"/>
    <x v="1"/>
    <n v="4"/>
    <x v="3"/>
    <n v="3"/>
    <x v="1"/>
    <n v="12965"/>
    <n v="22308"/>
    <n v="4"/>
    <s v="Y"/>
    <x v="0"/>
    <n v="20"/>
    <x v="1"/>
    <n v="4"/>
    <n v="80"/>
    <x v="2"/>
    <n v="27"/>
    <x v="2"/>
    <x v="2"/>
    <n v="3"/>
    <n v="2"/>
    <x v="0"/>
    <n v="2"/>
  </r>
  <r>
    <n v="43"/>
    <x v="1"/>
    <x v="0"/>
    <n v="244"/>
    <x v="2"/>
    <x v="2"/>
    <x v="3"/>
    <s v="Life Sciences"/>
    <n v="1"/>
    <n v="1778"/>
    <n v="2"/>
    <x v="1"/>
    <n v="97"/>
    <x v="0"/>
    <n v="1"/>
    <x v="8"/>
    <n v="4"/>
    <x v="0"/>
    <n v="3539"/>
    <n v="5033"/>
    <n v="0"/>
    <s v="Y"/>
    <x v="1"/>
    <n v="13"/>
    <x v="0"/>
    <n v="2"/>
    <n v="80"/>
    <x v="0"/>
    <n v="10"/>
    <x v="3"/>
    <x v="1"/>
    <n v="9"/>
    <n v="7"/>
    <x v="1"/>
    <n v="8"/>
  </r>
  <r>
    <n v="34"/>
    <x v="1"/>
    <x v="0"/>
    <n v="511"/>
    <x v="0"/>
    <x v="3"/>
    <x v="0"/>
    <s v="Life Sciences"/>
    <n v="1"/>
    <n v="1779"/>
    <n v="4"/>
    <x v="0"/>
    <n v="32"/>
    <x v="3"/>
    <n v="2"/>
    <x v="0"/>
    <n v="4"/>
    <x v="0"/>
    <n v="6029"/>
    <n v="25353"/>
    <n v="5"/>
    <s v="Y"/>
    <x v="1"/>
    <n v="12"/>
    <x v="0"/>
    <n v="1"/>
    <n v="80"/>
    <x v="0"/>
    <n v="6"/>
    <x v="1"/>
    <x v="1"/>
    <n v="2"/>
    <n v="2"/>
    <x v="3"/>
    <n v="2"/>
  </r>
  <r>
    <n v="21"/>
    <x v="0"/>
    <x v="0"/>
    <n v="337"/>
    <x v="0"/>
    <x v="15"/>
    <x v="1"/>
    <s v="Marketing"/>
    <n v="1"/>
    <n v="1780"/>
    <n v="2"/>
    <x v="1"/>
    <n v="31"/>
    <x v="0"/>
    <n v="1"/>
    <x v="6"/>
    <n v="2"/>
    <x v="0"/>
    <n v="2679"/>
    <n v="4567"/>
    <n v="1"/>
    <s v="Y"/>
    <x v="1"/>
    <n v="13"/>
    <x v="0"/>
    <n v="2"/>
    <n v="80"/>
    <x v="0"/>
    <n v="1"/>
    <x v="1"/>
    <x v="1"/>
    <n v="1"/>
    <n v="0"/>
    <x v="1"/>
    <n v="0"/>
  </r>
  <r>
    <n v="38"/>
    <x v="1"/>
    <x v="0"/>
    <n v="1153"/>
    <x v="1"/>
    <x v="16"/>
    <x v="0"/>
    <s v="Other"/>
    <n v="1"/>
    <n v="1782"/>
    <n v="4"/>
    <x v="0"/>
    <n v="40"/>
    <x v="1"/>
    <n v="1"/>
    <x v="2"/>
    <n v="3"/>
    <x v="1"/>
    <n v="3702"/>
    <n v="16376"/>
    <n v="1"/>
    <s v="Y"/>
    <x v="1"/>
    <n v="11"/>
    <x v="0"/>
    <n v="2"/>
    <n v="80"/>
    <x v="1"/>
    <n v="5"/>
    <x v="1"/>
    <x v="1"/>
    <n v="5"/>
    <n v="4"/>
    <x v="0"/>
    <n v="4"/>
  </r>
  <r>
    <n v="22"/>
    <x v="0"/>
    <x v="0"/>
    <n v="1294"/>
    <x v="1"/>
    <x v="1"/>
    <x v="1"/>
    <s v="Medical"/>
    <n v="1"/>
    <n v="1783"/>
    <n v="3"/>
    <x v="0"/>
    <n v="79"/>
    <x v="0"/>
    <n v="1"/>
    <x v="2"/>
    <n v="1"/>
    <x v="1"/>
    <n v="2398"/>
    <n v="15999"/>
    <n v="1"/>
    <s v="Y"/>
    <x v="0"/>
    <n v="17"/>
    <x v="0"/>
    <n v="3"/>
    <n v="80"/>
    <x v="0"/>
    <n v="1"/>
    <x v="6"/>
    <x v="1"/>
    <n v="1"/>
    <n v="0"/>
    <x v="0"/>
    <n v="0"/>
  </r>
  <r>
    <n v="31"/>
    <x v="1"/>
    <x v="0"/>
    <n v="196"/>
    <x v="0"/>
    <x v="22"/>
    <x v="2"/>
    <s v="Marketing"/>
    <n v="1"/>
    <n v="1784"/>
    <n v="1"/>
    <x v="0"/>
    <n v="91"/>
    <x v="1"/>
    <n v="2"/>
    <x v="0"/>
    <n v="4"/>
    <x v="1"/>
    <n v="5468"/>
    <n v="13402"/>
    <n v="1"/>
    <s v="Y"/>
    <x v="1"/>
    <n v="14"/>
    <x v="0"/>
    <n v="1"/>
    <n v="80"/>
    <x v="3"/>
    <n v="13"/>
    <x v="1"/>
    <x v="1"/>
    <n v="12"/>
    <n v="7"/>
    <x v="8"/>
    <n v="7"/>
  </r>
  <r>
    <n v="51"/>
    <x v="1"/>
    <x v="0"/>
    <n v="942"/>
    <x v="1"/>
    <x v="3"/>
    <x v="3"/>
    <s v="Technical Degree"/>
    <n v="1"/>
    <n v="1786"/>
    <n v="1"/>
    <x v="0"/>
    <n v="53"/>
    <x v="0"/>
    <n v="3"/>
    <x v="5"/>
    <n v="3"/>
    <x v="1"/>
    <n v="13116"/>
    <n v="22984"/>
    <n v="2"/>
    <s v="Y"/>
    <x v="1"/>
    <n v="11"/>
    <x v="0"/>
    <n v="4"/>
    <n v="80"/>
    <x v="0"/>
    <n v="15"/>
    <x v="2"/>
    <x v="1"/>
    <n v="2"/>
    <n v="2"/>
    <x v="3"/>
    <n v="2"/>
  </r>
  <r>
    <n v="37"/>
    <x v="1"/>
    <x v="0"/>
    <n v="589"/>
    <x v="0"/>
    <x v="14"/>
    <x v="0"/>
    <s v="Marketing"/>
    <n v="1"/>
    <n v="1787"/>
    <n v="2"/>
    <x v="1"/>
    <n v="46"/>
    <x v="1"/>
    <n v="2"/>
    <x v="0"/>
    <n v="2"/>
    <x v="1"/>
    <n v="4189"/>
    <n v="8800"/>
    <n v="1"/>
    <s v="Y"/>
    <x v="1"/>
    <n v="14"/>
    <x v="0"/>
    <n v="1"/>
    <n v="80"/>
    <x v="3"/>
    <n v="5"/>
    <x v="2"/>
    <x v="1"/>
    <n v="5"/>
    <n v="2"/>
    <x v="0"/>
    <n v="3"/>
  </r>
  <r>
    <n v="46"/>
    <x v="1"/>
    <x v="0"/>
    <n v="734"/>
    <x v="1"/>
    <x v="2"/>
    <x v="2"/>
    <s v="Medical"/>
    <n v="1"/>
    <n v="1789"/>
    <n v="3"/>
    <x v="1"/>
    <n v="46"/>
    <x v="0"/>
    <n v="5"/>
    <x v="7"/>
    <n v="4"/>
    <x v="2"/>
    <n v="19328"/>
    <n v="14218"/>
    <n v="7"/>
    <s v="Y"/>
    <x v="0"/>
    <n v="17"/>
    <x v="0"/>
    <n v="3"/>
    <n v="80"/>
    <x v="1"/>
    <n v="24"/>
    <x v="1"/>
    <x v="1"/>
    <n v="2"/>
    <n v="1"/>
    <x v="3"/>
    <n v="2"/>
  </r>
  <r>
    <n v="36"/>
    <x v="1"/>
    <x v="0"/>
    <n v="1383"/>
    <x v="1"/>
    <x v="17"/>
    <x v="3"/>
    <s v="Life Sciences"/>
    <n v="1"/>
    <n v="1790"/>
    <n v="4"/>
    <x v="1"/>
    <n v="90"/>
    <x v="0"/>
    <n v="3"/>
    <x v="4"/>
    <n v="1"/>
    <x v="1"/>
    <n v="8321"/>
    <n v="25949"/>
    <n v="7"/>
    <s v="Y"/>
    <x v="0"/>
    <n v="13"/>
    <x v="0"/>
    <n v="4"/>
    <n v="80"/>
    <x v="1"/>
    <n v="15"/>
    <x v="4"/>
    <x v="1"/>
    <n v="12"/>
    <n v="8"/>
    <x v="8"/>
    <n v="7"/>
  </r>
  <r>
    <n v="44"/>
    <x v="0"/>
    <x v="1"/>
    <n v="429"/>
    <x v="1"/>
    <x v="0"/>
    <x v="0"/>
    <s v="Medical"/>
    <n v="1"/>
    <n v="1792"/>
    <n v="3"/>
    <x v="1"/>
    <n v="99"/>
    <x v="0"/>
    <n v="1"/>
    <x v="1"/>
    <n v="2"/>
    <x v="2"/>
    <n v="2342"/>
    <n v="11092"/>
    <n v="1"/>
    <s v="Y"/>
    <x v="0"/>
    <n v="12"/>
    <x v="0"/>
    <n v="3"/>
    <n v="80"/>
    <x v="2"/>
    <n v="6"/>
    <x v="2"/>
    <x v="2"/>
    <n v="5"/>
    <n v="3"/>
    <x v="3"/>
    <n v="3"/>
  </r>
  <r>
    <n v="37"/>
    <x v="1"/>
    <x v="0"/>
    <n v="1239"/>
    <x v="2"/>
    <x v="1"/>
    <x v="0"/>
    <s v="Other"/>
    <n v="1"/>
    <n v="1794"/>
    <n v="3"/>
    <x v="1"/>
    <n v="89"/>
    <x v="0"/>
    <n v="2"/>
    <x v="8"/>
    <n v="2"/>
    <x v="2"/>
    <n v="4071"/>
    <n v="12832"/>
    <n v="2"/>
    <s v="Y"/>
    <x v="1"/>
    <n v="13"/>
    <x v="0"/>
    <n v="3"/>
    <n v="80"/>
    <x v="0"/>
    <n v="19"/>
    <x v="5"/>
    <x v="2"/>
    <n v="10"/>
    <n v="0"/>
    <x v="5"/>
    <n v="7"/>
  </r>
  <r>
    <n v="35"/>
    <x v="0"/>
    <x v="0"/>
    <n v="303"/>
    <x v="0"/>
    <x v="6"/>
    <x v="3"/>
    <s v="Life Sciences"/>
    <n v="1"/>
    <n v="1797"/>
    <n v="3"/>
    <x v="1"/>
    <n v="84"/>
    <x v="0"/>
    <n v="2"/>
    <x v="0"/>
    <n v="4"/>
    <x v="0"/>
    <n v="5813"/>
    <n v="13492"/>
    <n v="1"/>
    <s v="Y"/>
    <x v="0"/>
    <n v="18"/>
    <x v="0"/>
    <n v="4"/>
    <n v="80"/>
    <x v="0"/>
    <n v="10"/>
    <x v="2"/>
    <x v="1"/>
    <n v="10"/>
    <n v="7"/>
    <x v="4"/>
    <n v="7"/>
  </r>
  <r>
    <n v="33"/>
    <x v="1"/>
    <x v="0"/>
    <n v="867"/>
    <x v="1"/>
    <x v="1"/>
    <x v="2"/>
    <s v="Life Sciences"/>
    <n v="1"/>
    <n v="1798"/>
    <n v="4"/>
    <x v="1"/>
    <n v="90"/>
    <x v="2"/>
    <n v="1"/>
    <x v="1"/>
    <n v="1"/>
    <x v="1"/>
    <n v="3143"/>
    <n v="6076"/>
    <n v="6"/>
    <s v="Y"/>
    <x v="1"/>
    <n v="19"/>
    <x v="0"/>
    <n v="2"/>
    <n v="80"/>
    <x v="1"/>
    <n v="14"/>
    <x v="4"/>
    <x v="1"/>
    <n v="10"/>
    <n v="8"/>
    <x v="4"/>
    <n v="6"/>
  </r>
  <r>
    <n v="28"/>
    <x v="1"/>
    <x v="0"/>
    <n v="1181"/>
    <x v="1"/>
    <x v="0"/>
    <x v="3"/>
    <s v="Life Sciences"/>
    <n v="1"/>
    <n v="1799"/>
    <n v="3"/>
    <x v="1"/>
    <n v="82"/>
    <x v="0"/>
    <n v="1"/>
    <x v="1"/>
    <n v="4"/>
    <x v="1"/>
    <n v="2044"/>
    <n v="5531"/>
    <n v="1"/>
    <s v="Y"/>
    <x v="1"/>
    <n v="11"/>
    <x v="0"/>
    <n v="3"/>
    <n v="80"/>
    <x v="1"/>
    <n v="5"/>
    <x v="6"/>
    <x v="3"/>
    <n v="5"/>
    <n v="3"/>
    <x v="0"/>
    <n v="3"/>
  </r>
  <r>
    <n v="39"/>
    <x v="1"/>
    <x v="0"/>
    <n v="1253"/>
    <x v="1"/>
    <x v="17"/>
    <x v="1"/>
    <s v="Medical"/>
    <n v="1"/>
    <n v="1800"/>
    <n v="3"/>
    <x v="1"/>
    <n v="65"/>
    <x v="0"/>
    <n v="3"/>
    <x v="7"/>
    <n v="3"/>
    <x v="0"/>
    <n v="13464"/>
    <n v="7914"/>
    <n v="7"/>
    <s v="Y"/>
    <x v="1"/>
    <n v="21"/>
    <x v="1"/>
    <n v="3"/>
    <n v="80"/>
    <x v="0"/>
    <n v="9"/>
    <x v="1"/>
    <x v="1"/>
    <n v="4"/>
    <n v="3"/>
    <x v="3"/>
    <n v="2"/>
  </r>
  <r>
    <n v="46"/>
    <x v="1"/>
    <x v="2"/>
    <n v="849"/>
    <x v="0"/>
    <x v="9"/>
    <x v="0"/>
    <s v="Life Sciences"/>
    <n v="1"/>
    <n v="1801"/>
    <n v="2"/>
    <x v="1"/>
    <n v="98"/>
    <x v="1"/>
    <n v="2"/>
    <x v="0"/>
    <n v="2"/>
    <x v="0"/>
    <n v="7991"/>
    <n v="25166"/>
    <n v="8"/>
    <s v="Y"/>
    <x v="1"/>
    <n v="15"/>
    <x v="0"/>
    <n v="3"/>
    <n v="80"/>
    <x v="0"/>
    <n v="6"/>
    <x v="1"/>
    <x v="1"/>
    <n v="2"/>
    <n v="2"/>
    <x v="3"/>
    <n v="2"/>
  </r>
  <r>
    <n v="40"/>
    <x v="1"/>
    <x v="0"/>
    <n v="616"/>
    <x v="1"/>
    <x v="2"/>
    <x v="0"/>
    <s v="Life Sciences"/>
    <n v="1"/>
    <n v="1802"/>
    <n v="3"/>
    <x v="0"/>
    <n v="99"/>
    <x v="0"/>
    <n v="1"/>
    <x v="2"/>
    <n v="1"/>
    <x v="1"/>
    <n v="3377"/>
    <n v="25605"/>
    <n v="4"/>
    <s v="Y"/>
    <x v="1"/>
    <n v="17"/>
    <x v="0"/>
    <n v="4"/>
    <n v="80"/>
    <x v="1"/>
    <n v="7"/>
    <x v="3"/>
    <x v="2"/>
    <n v="4"/>
    <n v="3"/>
    <x v="0"/>
    <n v="2"/>
  </r>
  <r>
    <n v="42"/>
    <x v="1"/>
    <x v="0"/>
    <n v="1128"/>
    <x v="1"/>
    <x v="28"/>
    <x v="3"/>
    <s v="Medical"/>
    <n v="1"/>
    <n v="1803"/>
    <n v="2"/>
    <x v="1"/>
    <n v="95"/>
    <x v="2"/>
    <n v="2"/>
    <x v="4"/>
    <n v="1"/>
    <x v="1"/>
    <n v="5538"/>
    <n v="5696"/>
    <n v="5"/>
    <s v="Y"/>
    <x v="1"/>
    <n v="18"/>
    <x v="0"/>
    <n v="3"/>
    <n v="80"/>
    <x v="3"/>
    <n v="10"/>
    <x v="2"/>
    <x v="2"/>
    <n v="0"/>
    <n v="0"/>
    <x v="0"/>
    <n v="0"/>
  </r>
  <r>
    <n v="35"/>
    <x v="1"/>
    <x v="2"/>
    <n v="1180"/>
    <x v="1"/>
    <x v="2"/>
    <x v="0"/>
    <s v="Medical"/>
    <n v="1"/>
    <n v="1804"/>
    <n v="2"/>
    <x v="1"/>
    <n v="90"/>
    <x v="0"/>
    <n v="2"/>
    <x v="3"/>
    <n v="4"/>
    <x v="2"/>
    <n v="5762"/>
    <n v="24442"/>
    <n v="2"/>
    <s v="Y"/>
    <x v="1"/>
    <n v="14"/>
    <x v="0"/>
    <n v="3"/>
    <n v="80"/>
    <x v="1"/>
    <n v="15"/>
    <x v="6"/>
    <x v="1"/>
    <n v="7"/>
    <n v="7"/>
    <x v="1"/>
    <n v="7"/>
  </r>
  <r>
    <n v="38"/>
    <x v="1"/>
    <x v="2"/>
    <n v="1336"/>
    <x v="2"/>
    <x v="2"/>
    <x v="3"/>
    <s v="Human Resources"/>
    <n v="1"/>
    <n v="1805"/>
    <n v="1"/>
    <x v="1"/>
    <n v="100"/>
    <x v="0"/>
    <n v="1"/>
    <x v="8"/>
    <n v="2"/>
    <x v="2"/>
    <n v="2592"/>
    <n v="7129"/>
    <n v="5"/>
    <s v="Y"/>
    <x v="1"/>
    <n v="13"/>
    <x v="0"/>
    <n v="4"/>
    <n v="80"/>
    <x v="2"/>
    <n v="13"/>
    <x v="1"/>
    <x v="1"/>
    <n v="11"/>
    <n v="10"/>
    <x v="2"/>
    <n v="8"/>
  </r>
  <r>
    <n v="34"/>
    <x v="0"/>
    <x v="1"/>
    <n v="234"/>
    <x v="1"/>
    <x v="14"/>
    <x v="2"/>
    <s v="Life Sciences"/>
    <n v="1"/>
    <n v="1807"/>
    <n v="4"/>
    <x v="1"/>
    <n v="93"/>
    <x v="0"/>
    <n v="2"/>
    <x v="2"/>
    <n v="1"/>
    <x v="1"/>
    <n v="5346"/>
    <n v="6208"/>
    <n v="4"/>
    <s v="Y"/>
    <x v="1"/>
    <n v="17"/>
    <x v="0"/>
    <n v="3"/>
    <n v="80"/>
    <x v="1"/>
    <n v="11"/>
    <x v="1"/>
    <x v="2"/>
    <n v="7"/>
    <n v="1"/>
    <x v="0"/>
    <n v="7"/>
  </r>
  <r>
    <n v="37"/>
    <x v="0"/>
    <x v="0"/>
    <n v="370"/>
    <x v="1"/>
    <x v="17"/>
    <x v="2"/>
    <s v="Medical"/>
    <n v="1"/>
    <n v="1809"/>
    <n v="4"/>
    <x v="1"/>
    <n v="58"/>
    <x v="0"/>
    <n v="2"/>
    <x v="3"/>
    <n v="1"/>
    <x v="0"/>
    <n v="4213"/>
    <n v="4992"/>
    <n v="1"/>
    <s v="Y"/>
    <x v="1"/>
    <n v="15"/>
    <x v="0"/>
    <n v="2"/>
    <n v="80"/>
    <x v="0"/>
    <n v="10"/>
    <x v="5"/>
    <x v="0"/>
    <n v="10"/>
    <n v="3"/>
    <x v="0"/>
    <n v="8"/>
  </r>
  <r>
    <n v="39"/>
    <x v="1"/>
    <x v="1"/>
    <n v="766"/>
    <x v="0"/>
    <x v="25"/>
    <x v="3"/>
    <s v="Life Sciences"/>
    <n v="1"/>
    <n v="1812"/>
    <n v="3"/>
    <x v="1"/>
    <n v="83"/>
    <x v="0"/>
    <n v="2"/>
    <x v="0"/>
    <n v="4"/>
    <x v="2"/>
    <n v="4127"/>
    <n v="19188"/>
    <n v="2"/>
    <s v="Y"/>
    <x v="1"/>
    <n v="18"/>
    <x v="0"/>
    <n v="4"/>
    <n v="80"/>
    <x v="1"/>
    <n v="7"/>
    <x v="6"/>
    <x v="1"/>
    <n v="2"/>
    <n v="1"/>
    <x v="3"/>
    <n v="2"/>
  </r>
  <r>
    <n v="43"/>
    <x v="1"/>
    <x v="2"/>
    <n v="343"/>
    <x v="1"/>
    <x v="14"/>
    <x v="3"/>
    <s v="Life Sciences"/>
    <n v="1"/>
    <n v="1813"/>
    <n v="1"/>
    <x v="1"/>
    <n v="52"/>
    <x v="0"/>
    <n v="1"/>
    <x v="1"/>
    <n v="3"/>
    <x v="0"/>
    <n v="2438"/>
    <n v="24978"/>
    <n v="4"/>
    <s v="Y"/>
    <x v="1"/>
    <n v="13"/>
    <x v="0"/>
    <n v="3"/>
    <n v="80"/>
    <x v="0"/>
    <n v="7"/>
    <x v="2"/>
    <x v="2"/>
    <n v="3"/>
    <n v="2"/>
    <x v="1"/>
    <n v="2"/>
  </r>
  <r>
    <n v="41"/>
    <x v="1"/>
    <x v="0"/>
    <n v="447"/>
    <x v="1"/>
    <x v="12"/>
    <x v="3"/>
    <s v="Life Sciences"/>
    <n v="1"/>
    <n v="1814"/>
    <n v="2"/>
    <x v="1"/>
    <n v="85"/>
    <x v="2"/>
    <n v="2"/>
    <x v="4"/>
    <n v="2"/>
    <x v="0"/>
    <n v="6870"/>
    <n v="15530"/>
    <n v="3"/>
    <s v="Y"/>
    <x v="1"/>
    <n v="12"/>
    <x v="0"/>
    <n v="1"/>
    <n v="80"/>
    <x v="0"/>
    <n v="11"/>
    <x v="1"/>
    <x v="0"/>
    <n v="3"/>
    <n v="2"/>
    <x v="1"/>
    <n v="2"/>
  </r>
  <r>
    <n v="41"/>
    <x v="1"/>
    <x v="0"/>
    <n v="796"/>
    <x v="0"/>
    <x v="18"/>
    <x v="1"/>
    <s v="Marketing"/>
    <n v="1"/>
    <n v="1815"/>
    <n v="3"/>
    <x v="0"/>
    <n v="81"/>
    <x v="0"/>
    <n v="3"/>
    <x v="0"/>
    <n v="3"/>
    <x v="2"/>
    <n v="10447"/>
    <n v="26458"/>
    <n v="0"/>
    <s v="Y"/>
    <x v="0"/>
    <n v="13"/>
    <x v="0"/>
    <n v="4"/>
    <n v="80"/>
    <x v="1"/>
    <n v="23"/>
    <x v="1"/>
    <x v="3"/>
    <n v="22"/>
    <n v="14"/>
    <x v="11"/>
    <n v="5"/>
  </r>
  <r>
    <n v="30"/>
    <x v="1"/>
    <x v="0"/>
    <n v="1092"/>
    <x v="1"/>
    <x v="17"/>
    <x v="3"/>
    <s v="Medical"/>
    <n v="1"/>
    <n v="1816"/>
    <n v="1"/>
    <x v="0"/>
    <n v="64"/>
    <x v="0"/>
    <n v="3"/>
    <x v="3"/>
    <n v="3"/>
    <x v="0"/>
    <n v="9667"/>
    <n v="2739"/>
    <n v="9"/>
    <s v="Y"/>
    <x v="1"/>
    <n v="14"/>
    <x v="0"/>
    <n v="2"/>
    <n v="80"/>
    <x v="0"/>
    <n v="9"/>
    <x v="1"/>
    <x v="1"/>
    <n v="7"/>
    <n v="7"/>
    <x v="0"/>
    <n v="2"/>
  </r>
  <r>
    <n v="26"/>
    <x v="0"/>
    <x v="0"/>
    <n v="920"/>
    <x v="2"/>
    <x v="25"/>
    <x v="0"/>
    <s v="Medical"/>
    <n v="1"/>
    <n v="1818"/>
    <n v="4"/>
    <x v="0"/>
    <n v="69"/>
    <x v="0"/>
    <n v="1"/>
    <x v="8"/>
    <n v="2"/>
    <x v="1"/>
    <n v="2148"/>
    <n v="6889"/>
    <n v="0"/>
    <s v="Y"/>
    <x v="0"/>
    <n v="11"/>
    <x v="0"/>
    <n v="3"/>
    <n v="80"/>
    <x v="0"/>
    <n v="6"/>
    <x v="1"/>
    <x v="1"/>
    <n v="5"/>
    <n v="1"/>
    <x v="1"/>
    <n v="4"/>
  </r>
  <r>
    <n v="46"/>
    <x v="0"/>
    <x v="0"/>
    <n v="261"/>
    <x v="1"/>
    <x v="11"/>
    <x v="0"/>
    <s v="Medical"/>
    <n v="1"/>
    <n v="1821"/>
    <n v="4"/>
    <x v="0"/>
    <n v="66"/>
    <x v="0"/>
    <n v="2"/>
    <x v="4"/>
    <n v="2"/>
    <x v="1"/>
    <n v="8926"/>
    <n v="10842"/>
    <n v="4"/>
    <s v="Y"/>
    <x v="1"/>
    <n v="22"/>
    <x v="1"/>
    <n v="4"/>
    <n v="80"/>
    <x v="1"/>
    <n v="13"/>
    <x v="2"/>
    <x v="3"/>
    <n v="9"/>
    <n v="7"/>
    <x v="2"/>
    <n v="7"/>
  </r>
  <r>
    <n v="40"/>
    <x v="1"/>
    <x v="0"/>
    <n v="1194"/>
    <x v="1"/>
    <x v="0"/>
    <x v="3"/>
    <s v="Life Sciences"/>
    <n v="1"/>
    <n v="1822"/>
    <n v="3"/>
    <x v="0"/>
    <n v="52"/>
    <x v="0"/>
    <n v="2"/>
    <x v="4"/>
    <n v="4"/>
    <x v="2"/>
    <n v="6513"/>
    <n v="9060"/>
    <n v="4"/>
    <s v="Y"/>
    <x v="1"/>
    <n v="17"/>
    <x v="0"/>
    <n v="4"/>
    <n v="80"/>
    <x v="1"/>
    <n v="12"/>
    <x v="1"/>
    <x v="1"/>
    <n v="5"/>
    <n v="3"/>
    <x v="0"/>
    <n v="3"/>
  </r>
  <r>
    <n v="34"/>
    <x v="1"/>
    <x v="0"/>
    <n v="810"/>
    <x v="0"/>
    <x v="1"/>
    <x v="0"/>
    <s v="Technical Degree"/>
    <n v="1"/>
    <n v="1823"/>
    <n v="2"/>
    <x v="1"/>
    <n v="92"/>
    <x v="2"/>
    <n v="2"/>
    <x v="0"/>
    <n v="3"/>
    <x v="1"/>
    <n v="6799"/>
    <n v="22128"/>
    <n v="1"/>
    <s v="Y"/>
    <x v="1"/>
    <n v="21"/>
    <x v="1"/>
    <n v="3"/>
    <n v="80"/>
    <x v="3"/>
    <n v="10"/>
    <x v="3"/>
    <x v="1"/>
    <n v="10"/>
    <n v="8"/>
    <x v="5"/>
    <n v="8"/>
  </r>
  <r>
    <n v="58"/>
    <x v="1"/>
    <x v="2"/>
    <n v="350"/>
    <x v="0"/>
    <x v="2"/>
    <x v="3"/>
    <s v="Medical"/>
    <n v="1"/>
    <n v="1824"/>
    <n v="2"/>
    <x v="1"/>
    <n v="52"/>
    <x v="0"/>
    <n v="4"/>
    <x v="5"/>
    <n v="2"/>
    <x v="2"/>
    <n v="16291"/>
    <n v="22577"/>
    <n v="4"/>
    <s v="Y"/>
    <x v="1"/>
    <n v="22"/>
    <x v="1"/>
    <n v="4"/>
    <n v="80"/>
    <x v="1"/>
    <n v="37"/>
    <x v="0"/>
    <x v="2"/>
    <n v="16"/>
    <n v="9"/>
    <x v="15"/>
    <n v="14"/>
  </r>
  <r>
    <n v="35"/>
    <x v="1"/>
    <x v="0"/>
    <n v="185"/>
    <x v="1"/>
    <x v="5"/>
    <x v="2"/>
    <s v="Medical"/>
    <n v="1"/>
    <n v="1826"/>
    <n v="2"/>
    <x v="1"/>
    <n v="91"/>
    <x v="3"/>
    <n v="1"/>
    <x v="2"/>
    <n v="3"/>
    <x v="1"/>
    <n v="2705"/>
    <n v="9696"/>
    <n v="0"/>
    <s v="Y"/>
    <x v="1"/>
    <n v="16"/>
    <x v="0"/>
    <n v="2"/>
    <n v="80"/>
    <x v="1"/>
    <n v="6"/>
    <x v="2"/>
    <x v="3"/>
    <n v="5"/>
    <n v="4"/>
    <x v="0"/>
    <n v="3"/>
  </r>
  <r>
    <n v="47"/>
    <x v="1"/>
    <x v="0"/>
    <n v="1001"/>
    <x v="1"/>
    <x v="18"/>
    <x v="3"/>
    <s v="Life Sciences"/>
    <n v="1"/>
    <n v="1827"/>
    <n v="3"/>
    <x v="0"/>
    <n v="92"/>
    <x v="1"/>
    <n v="3"/>
    <x v="3"/>
    <n v="2"/>
    <x v="2"/>
    <n v="10333"/>
    <n v="19271"/>
    <n v="8"/>
    <s v="Y"/>
    <x v="0"/>
    <n v="12"/>
    <x v="0"/>
    <n v="3"/>
    <n v="80"/>
    <x v="1"/>
    <n v="28"/>
    <x v="5"/>
    <x v="1"/>
    <n v="22"/>
    <n v="11"/>
    <x v="15"/>
    <n v="10"/>
  </r>
  <r>
    <n v="40"/>
    <x v="1"/>
    <x v="0"/>
    <n v="750"/>
    <x v="1"/>
    <x v="20"/>
    <x v="3"/>
    <s v="Life Sciences"/>
    <n v="1"/>
    <n v="1829"/>
    <n v="2"/>
    <x v="0"/>
    <n v="47"/>
    <x v="0"/>
    <n v="2"/>
    <x v="4"/>
    <n v="1"/>
    <x v="2"/>
    <n v="4448"/>
    <n v="10748"/>
    <n v="2"/>
    <s v="Y"/>
    <x v="1"/>
    <n v="12"/>
    <x v="0"/>
    <n v="2"/>
    <n v="80"/>
    <x v="1"/>
    <n v="15"/>
    <x v="1"/>
    <x v="1"/>
    <n v="7"/>
    <n v="4"/>
    <x v="4"/>
    <n v="7"/>
  </r>
  <r>
    <n v="54"/>
    <x v="1"/>
    <x v="0"/>
    <n v="431"/>
    <x v="1"/>
    <x v="15"/>
    <x v="2"/>
    <s v="Medical"/>
    <n v="1"/>
    <n v="1830"/>
    <n v="4"/>
    <x v="0"/>
    <n v="68"/>
    <x v="0"/>
    <n v="2"/>
    <x v="1"/>
    <n v="4"/>
    <x v="1"/>
    <n v="6854"/>
    <n v="15696"/>
    <n v="4"/>
    <s v="Y"/>
    <x v="1"/>
    <n v="15"/>
    <x v="0"/>
    <n v="2"/>
    <n v="80"/>
    <x v="1"/>
    <n v="14"/>
    <x v="2"/>
    <x v="2"/>
    <n v="7"/>
    <n v="1"/>
    <x v="1"/>
    <n v="7"/>
  </r>
  <r>
    <n v="31"/>
    <x v="1"/>
    <x v="1"/>
    <n v="1125"/>
    <x v="0"/>
    <x v="15"/>
    <x v="2"/>
    <s v="Marketing"/>
    <n v="1"/>
    <n v="1833"/>
    <n v="1"/>
    <x v="0"/>
    <n v="68"/>
    <x v="0"/>
    <n v="3"/>
    <x v="0"/>
    <n v="1"/>
    <x v="1"/>
    <n v="9637"/>
    <n v="8277"/>
    <n v="2"/>
    <s v="Y"/>
    <x v="1"/>
    <n v="14"/>
    <x v="0"/>
    <n v="4"/>
    <n v="80"/>
    <x v="3"/>
    <n v="9"/>
    <x v="1"/>
    <x v="1"/>
    <n v="3"/>
    <n v="2"/>
    <x v="3"/>
    <n v="2"/>
  </r>
  <r>
    <n v="28"/>
    <x v="1"/>
    <x v="0"/>
    <n v="1217"/>
    <x v="1"/>
    <x v="0"/>
    <x v="3"/>
    <s v="Medical"/>
    <n v="1"/>
    <n v="1834"/>
    <n v="3"/>
    <x v="0"/>
    <n v="67"/>
    <x v="0"/>
    <n v="1"/>
    <x v="1"/>
    <n v="1"/>
    <x v="1"/>
    <n v="3591"/>
    <n v="12719"/>
    <n v="1"/>
    <s v="Y"/>
    <x v="1"/>
    <n v="25"/>
    <x v="1"/>
    <n v="3"/>
    <n v="80"/>
    <x v="1"/>
    <n v="3"/>
    <x v="1"/>
    <x v="1"/>
    <n v="3"/>
    <n v="2"/>
    <x v="1"/>
    <n v="2"/>
  </r>
  <r>
    <n v="38"/>
    <x v="1"/>
    <x v="0"/>
    <n v="723"/>
    <x v="0"/>
    <x v="2"/>
    <x v="2"/>
    <s v="Marketing"/>
    <n v="1"/>
    <n v="1835"/>
    <n v="2"/>
    <x v="0"/>
    <n v="77"/>
    <x v="3"/>
    <n v="2"/>
    <x v="6"/>
    <n v="4"/>
    <x v="1"/>
    <n v="5405"/>
    <n v="4244"/>
    <n v="2"/>
    <s v="Y"/>
    <x v="0"/>
    <n v="20"/>
    <x v="1"/>
    <n v="1"/>
    <n v="80"/>
    <x v="3"/>
    <n v="20"/>
    <x v="5"/>
    <x v="2"/>
    <n v="4"/>
    <n v="2"/>
    <x v="0"/>
    <n v="3"/>
  </r>
  <r>
    <n v="26"/>
    <x v="1"/>
    <x v="0"/>
    <n v="572"/>
    <x v="0"/>
    <x v="17"/>
    <x v="3"/>
    <s v="Medical"/>
    <n v="1"/>
    <n v="1836"/>
    <n v="3"/>
    <x v="1"/>
    <n v="46"/>
    <x v="0"/>
    <n v="2"/>
    <x v="0"/>
    <n v="4"/>
    <x v="0"/>
    <n v="4684"/>
    <n v="9125"/>
    <n v="1"/>
    <s v="Y"/>
    <x v="1"/>
    <n v="13"/>
    <x v="0"/>
    <n v="1"/>
    <n v="80"/>
    <x v="0"/>
    <n v="5"/>
    <x v="5"/>
    <x v="1"/>
    <n v="5"/>
    <n v="3"/>
    <x v="1"/>
    <n v="2"/>
  </r>
  <r>
    <n v="58"/>
    <x v="1"/>
    <x v="1"/>
    <n v="1216"/>
    <x v="1"/>
    <x v="8"/>
    <x v="2"/>
    <s v="Life Sciences"/>
    <n v="1"/>
    <n v="1837"/>
    <n v="1"/>
    <x v="1"/>
    <n v="87"/>
    <x v="0"/>
    <n v="4"/>
    <x v="7"/>
    <n v="3"/>
    <x v="1"/>
    <n v="15787"/>
    <n v="21624"/>
    <n v="2"/>
    <s v="Y"/>
    <x v="0"/>
    <n v="14"/>
    <x v="0"/>
    <n v="2"/>
    <n v="80"/>
    <x v="0"/>
    <n v="23"/>
    <x v="1"/>
    <x v="1"/>
    <n v="2"/>
    <n v="2"/>
    <x v="3"/>
    <n v="2"/>
  </r>
  <r>
    <n v="18"/>
    <x v="1"/>
    <x v="2"/>
    <n v="1431"/>
    <x v="1"/>
    <x v="24"/>
    <x v="3"/>
    <s v="Medical"/>
    <n v="1"/>
    <n v="1839"/>
    <n v="2"/>
    <x v="0"/>
    <n v="33"/>
    <x v="0"/>
    <n v="1"/>
    <x v="1"/>
    <n v="3"/>
    <x v="0"/>
    <n v="1514"/>
    <n v="8018"/>
    <n v="1"/>
    <s v="Y"/>
    <x v="1"/>
    <n v="16"/>
    <x v="0"/>
    <n v="3"/>
    <n v="80"/>
    <x v="0"/>
    <n v="0"/>
    <x v="5"/>
    <x v="0"/>
    <n v="0"/>
    <n v="0"/>
    <x v="0"/>
    <n v="0"/>
  </r>
  <r>
    <n v="31"/>
    <x v="0"/>
    <x v="0"/>
    <n v="359"/>
    <x v="2"/>
    <x v="21"/>
    <x v="4"/>
    <s v="Human Resources"/>
    <n v="1"/>
    <n v="1842"/>
    <n v="4"/>
    <x v="1"/>
    <n v="89"/>
    <x v="2"/>
    <n v="1"/>
    <x v="8"/>
    <n v="1"/>
    <x v="1"/>
    <n v="2956"/>
    <n v="21495"/>
    <n v="0"/>
    <s v="Y"/>
    <x v="1"/>
    <n v="17"/>
    <x v="0"/>
    <n v="3"/>
    <n v="80"/>
    <x v="0"/>
    <n v="2"/>
    <x v="5"/>
    <x v="1"/>
    <n v="1"/>
    <n v="0"/>
    <x v="0"/>
    <n v="0"/>
  </r>
  <r>
    <n v="29"/>
    <x v="0"/>
    <x v="0"/>
    <n v="350"/>
    <x v="2"/>
    <x v="28"/>
    <x v="3"/>
    <s v="Human Resources"/>
    <n v="1"/>
    <n v="1844"/>
    <n v="1"/>
    <x v="1"/>
    <n v="56"/>
    <x v="1"/>
    <n v="1"/>
    <x v="8"/>
    <n v="1"/>
    <x v="2"/>
    <n v="2335"/>
    <n v="3157"/>
    <n v="4"/>
    <s v="Y"/>
    <x v="0"/>
    <n v="15"/>
    <x v="0"/>
    <n v="4"/>
    <n v="80"/>
    <x v="2"/>
    <n v="4"/>
    <x v="1"/>
    <x v="1"/>
    <n v="2"/>
    <n v="2"/>
    <x v="3"/>
    <n v="0"/>
  </r>
  <r>
    <n v="45"/>
    <x v="1"/>
    <x v="2"/>
    <n v="589"/>
    <x v="0"/>
    <x v="2"/>
    <x v="2"/>
    <s v="Life Sciences"/>
    <n v="1"/>
    <n v="1845"/>
    <n v="3"/>
    <x v="0"/>
    <n v="67"/>
    <x v="0"/>
    <n v="2"/>
    <x v="0"/>
    <n v="3"/>
    <x v="1"/>
    <n v="5154"/>
    <n v="19665"/>
    <n v="4"/>
    <s v="Y"/>
    <x v="1"/>
    <n v="22"/>
    <x v="1"/>
    <n v="2"/>
    <n v="80"/>
    <x v="3"/>
    <n v="10"/>
    <x v="1"/>
    <x v="3"/>
    <n v="8"/>
    <n v="7"/>
    <x v="8"/>
    <n v="7"/>
  </r>
  <r>
    <n v="36"/>
    <x v="1"/>
    <x v="0"/>
    <n v="430"/>
    <x v="1"/>
    <x v="2"/>
    <x v="2"/>
    <s v="Other"/>
    <n v="1"/>
    <n v="1847"/>
    <n v="4"/>
    <x v="0"/>
    <n v="73"/>
    <x v="0"/>
    <n v="2"/>
    <x v="1"/>
    <n v="2"/>
    <x v="1"/>
    <n v="6962"/>
    <n v="19573"/>
    <n v="4"/>
    <s v="Y"/>
    <x v="0"/>
    <n v="22"/>
    <x v="1"/>
    <n v="4"/>
    <n v="80"/>
    <x v="1"/>
    <n v="15"/>
    <x v="2"/>
    <x v="1"/>
    <n v="1"/>
    <n v="0"/>
    <x v="0"/>
    <n v="0"/>
  </r>
  <r>
    <n v="43"/>
    <x v="1"/>
    <x v="1"/>
    <n v="1422"/>
    <x v="0"/>
    <x v="2"/>
    <x v="2"/>
    <s v="Life Sciences"/>
    <n v="1"/>
    <n v="1849"/>
    <n v="1"/>
    <x v="1"/>
    <n v="92"/>
    <x v="0"/>
    <n v="2"/>
    <x v="0"/>
    <n v="4"/>
    <x v="1"/>
    <n v="5675"/>
    <n v="19246"/>
    <n v="1"/>
    <s v="Y"/>
    <x v="1"/>
    <n v="20"/>
    <x v="1"/>
    <n v="3"/>
    <n v="80"/>
    <x v="1"/>
    <n v="7"/>
    <x v="3"/>
    <x v="1"/>
    <n v="7"/>
    <n v="7"/>
    <x v="4"/>
    <n v="7"/>
  </r>
  <r>
    <n v="27"/>
    <x v="1"/>
    <x v="1"/>
    <n v="1297"/>
    <x v="1"/>
    <x v="12"/>
    <x v="0"/>
    <s v="Life Sciences"/>
    <n v="1"/>
    <n v="1850"/>
    <n v="4"/>
    <x v="0"/>
    <n v="53"/>
    <x v="0"/>
    <n v="1"/>
    <x v="2"/>
    <n v="4"/>
    <x v="0"/>
    <n v="2379"/>
    <n v="19826"/>
    <n v="0"/>
    <s v="Y"/>
    <x v="0"/>
    <n v="14"/>
    <x v="0"/>
    <n v="3"/>
    <n v="80"/>
    <x v="0"/>
    <n v="6"/>
    <x v="1"/>
    <x v="2"/>
    <n v="5"/>
    <n v="4"/>
    <x v="0"/>
    <n v="2"/>
  </r>
  <r>
    <n v="29"/>
    <x v="1"/>
    <x v="1"/>
    <n v="574"/>
    <x v="1"/>
    <x v="25"/>
    <x v="1"/>
    <s v="Medical"/>
    <n v="1"/>
    <n v="1852"/>
    <n v="4"/>
    <x v="1"/>
    <n v="40"/>
    <x v="0"/>
    <n v="1"/>
    <x v="2"/>
    <n v="4"/>
    <x v="1"/>
    <n v="3812"/>
    <n v="7003"/>
    <n v="1"/>
    <s v="Y"/>
    <x v="1"/>
    <n v="13"/>
    <x v="0"/>
    <n v="2"/>
    <n v="80"/>
    <x v="0"/>
    <n v="11"/>
    <x v="1"/>
    <x v="3"/>
    <n v="11"/>
    <n v="8"/>
    <x v="2"/>
    <n v="10"/>
  </r>
  <r>
    <n v="32"/>
    <x v="1"/>
    <x v="1"/>
    <n v="1318"/>
    <x v="0"/>
    <x v="17"/>
    <x v="2"/>
    <s v="Marketing"/>
    <n v="1"/>
    <n v="1853"/>
    <n v="4"/>
    <x v="1"/>
    <n v="79"/>
    <x v="0"/>
    <n v="2"/>
    <x v="0"/>
    <n v="4"/>
    <x v="0"/>
    <n v="4648"/>
    <n v="26075"/>
    <n v="8"/>
    <s v="Y"/>
    <x v="1"/>
    <n v="13"/>
    <x v="0"/>
    <n v="3"/>
    <n v="80"/>
    <x v="0"/>
    <n v="4"/>
    <x v="2"/>
    <x v="3"/>
    <n v="0"/>
    <n v="0"/>
    <x v="0"/>
    <n v="0"/>
  </r>
  <r>
    <n v="42"/>
    <x v="1"/>
    <x v="2"/>
    <n v="355"/>
    <x v="1"/>
    <x v="17"/>
    <x v="2"/>
    <s v="Technical Degree"/>
    <n v="1"/>
    <n v="1854"/>
    <n v="3"/>
    <x v="1"/>
    <n v="38"/>
    <x v="0"/>
    <n v="1"/>
    <x v="1"/>
    <n v="3"/>
    <x v="1"/>
    <n v="2936"/>
    <n v="6161"/>
    <n v="3"/>
    <s v="Y"/>
    <x v="1"/>
    <n v="22"/>
    <x v="1"/>
    <n v="2"/>
    <n v="80"/>
    <x v="3"/>
    <n v="10"/>
    <x v="4"/>
    <x v="2"/>
    <n v="6"/>
    <n v="3"/>
    <x v="2"/>
    <n v="3"/>
  </r>
  <r>
    <n v="47"/>
    <x v="1"/>
    <x v="0"/>
    <n v="207"/>
    <x v="1"/>
    <x v="14"/>
    <x v="2"/>
    <s v="Life Sciences"/>
    <n v="1"/>
    <n v="1856"/>
    <n v="2"/>
    <x v="0"/>
    <n v="64"/>
    <x v="0"/>
    <n v="1"/>
    <x v="2"/>
    <n v="3"/>
    <x v="0"/>
    <n v="2105"/>
    <n v="5411"/>
    <n v="4"/>
    <s v="Y"/>
    <x v="1"/>
    <n v="12"/>
    <x v="0"/>
    <n v="3"/>
    <n v="80"/>
    <x v="0"/>
    <n v="7"/>
    <x v="2"/>
    <x v="1"/>
    <n v="2"/>
    <n v="2"/>
    <x v="3"/>
    <n v="0"/>
  </r>
  <r>
    <n v="46"/>
    <x v="1"/>
    <x v="0"/>
    <n v="706"/>
    <x v="1"/>
    <x v="2"/>
    <x v="0"/>
    <s v="Life Sciences"/>
    <n v="1"/>
    <n v="1857"/>
    <n v="4"/>
    <x v="1"/>
    <n v="82"/>
    <x v="0"/>
    <n v="3"/>
    <x v="3"/>
    <n v="4"/>
    <x v="2"/>
    <n v="8578"/>
    <n v="19989"/>
    <n v="3"/>
    <s v="Y"/>
    <x v="1"/>
    <n v="14"/>
    <x v="0"/>
    <n v="3"/>
    <n v="80"/>
    <x v="1"/>
    <n v="12"/>
    <x v="5"/>
    <x v="2"/>
    <n v="9"/>
    <n v="8"/>
    <x v="5"/>
    <n v="7"/>
  </r>
  <r>
    <n v="28"/>
    <x v="1"/>
    <x v="2"/>
    <n v="280"/>
    <x v="2"/>
    <x v="0"/>
    <x v="0"/>
    <s v="Life Sciences"/>
    <n v="1"/>
    <n v="1858"/>
    <n v="3"/>
    <x v="1"/>
    <n v="43"/>
    <x v="0"/>
    <n v="1"/>
    <x v="8"/>
    <n v="4"/>
    <x v="2"/>
    <n v="2706"/>
    <n v="10494"/>
    <n v="1"/>
    <s v="Y"/>
    <x v="1"/>
    <n v="15"/>
    <x v="0"/>
    <n v="2"/>
    <n v="80"/>
    <x v="1"/>
    <n v="3"/>
    <x v="2"/>
    <x v="1"/>
    <n v="3"/>
    <n v="2"/>
    <x v="3"/>
    <n v="2"/>
  </r>
  <r>
    <n v="29"/>
    <x v="1"/>
    <x v="0"/>
    <n v="726"/>
    <x v="1"/>
    <x v="22"/>
    <x v="1"/>
    <s v="Life Sciences"/>
    <n v="1"/>
    <n v="1859"/>
    <n v="4"/>
    <x v="1"/>
    <n v="93"/>
    <x v="3"/>
    <n v="2"/>
    <x v="4"/>
    <n v="3"/>
    <x v="2"/>
    <n v="6384"/>
    <n v="21143"/>
    <n v="8"/>
    <s v="Y"/>
    <x v="1"/>
    <n v="17"/>
    <x v="0"/>
    <n v="4"/>
    <n v="80"/>
    <x v="3"/>
    <n v="11"/>
    <x v="1"/>
    <x v="1"/>
    <n v="7"/>
    <n v="0"/>
    <x v="1"/>
    <n v="6"/>
  </r>
  <r>
    <n v="42"/>
    <x v="1"/>
    <x v="0"/>
    <n v="1142"/>
    <x v="1"/>
    <x v="1"/>
    <x v="3"/>
    <s v="Life Sciences"/>
    <n v="1"/>
    <n v="1860"/>
    <n v="4"/>
    <x v="1"/>
    <n v="81"/>
    <x v="0"/>
    <n v="1"/>
    <x v="2"/>
    <n v="3"/>
    <x v="0"/>
    <n v="3968"/>
    <n v="13624"/>
    <n v="4"/>
    <s v="Y"/>
    <x v="1"/>
    <n v="13"/>
    <x v="0"/>
    <n v="4"/>
    <n v="80"/>
    <x v="0"/>
    <n v="8"/>
    <x v="1"/>
    <x v="1"/>
    <n v="0"/>
    <n v="0"/>
    <x v="0"/>
    <n v="0"/>
  </r>
  <r>
    <n v="32"/>
    <x v="0"/>
    <x v="0"/>
    <n v="414"/>
    <x v="0"/>
    <x v="2"/>
    <x v="2"/>
    <s v="Marketing"/>
    <n v="1"/>
    <n v="1862"/>
    <n v="3"/>
    <x v="1"/>
    <n v="82"/>
    <x v="1"/>
    <n v="2"/>
    <x v="0"/>
    <n v="2"/>
    <x v="0"/>
    <n v="9907"/>
    <n v="26186"/>
    <n v="7"/>
    <s v="Y"/>
    <x v="0"/>
    <n v="12"/>
    <x v="0"/>
    <n v="3"/>
    <n v="80"/>
    <x v="0"/>
    <n v="7"/>
    <x v="1"/>
    <x v="2"/>
    <n v="2"/>
    <n v="2"/>
    <x v="3"/>
    <n v="2"/>
  </r>
  <r>
    <n v="46"/>
    <x v="1"/>
    <x v="0"/>
    <n v="1319"/>
    <x v="0"/>
    <x v="3"/>
    <x v="3"/>
    <s v="Technical Degree"/>
    <n v="1"/>
    <n v="1863"/>
    <n v="1"/>
    <x v="0"/>
    <n v="45"/>
    <x v="2"/>
    <n v="4"/>
    <x v="0"/>
    <n v="1"/>
    <x v="2"/>
    <n v="13225"/>
    <n v="7739"/>
    <n v="2"/>
    <s v="Y"/>
    <x v="1"/>
    <n v="12"/>
    <x v="0"/>
    <n v="4"/>
    <n v="80"/>
    <x v="1"/>
    <n v="25"/>
    <x v="3"/>
    <x v="1"/>
    <n v="19"/>
    <n v="17"/>
    <x v="3"/>
    <n v="8"/>
  </r>
  <r>
    <n v="27"/>
    <x v="1"/>
    <x v="0"/>
    <n v="728"/>
    <x v="0"/>
    <x v="5"/>
    <x v="1"/>
    <s v="Medical"/>
    <n v="1"/>
    <n v="1864"/>
    <n v="2"/>
    <x v="0"/>
    <n v="36"/>
    <x v="1"/>
    <n v="2"/>
    <x v="6"/>
    <n v="3"/>
    <x v="1"/>
    <n v="3540"/>
    <n v="7018"/>
    <n v="1"/>
    <s v="Y"/>
    <x v="1"/>
    <n v="21"/>
    <x v="1"/>
    <n v="4"/>
    <n v="80"/>
    <x v="1"/>
    <n v="9"/>
    <x v="3"/>
    <x v="1"/>
    <n v="9"/>
    <n v="8"/>
    <x v="8"/>
    <n v="8"/>
  </r>
  <r>
    <n v="29"/>
    <x v="1"/>
    <x v="0"/>
    <n v="352"/>
    <x v="2"/>
    <x v="16"/>
    <x v="1"/>
    <s v="Medical"/>
    <n v="1"/>
    <n v="1865"/>
    <n v="4"/>
    <x v="1"/>
    <n v="87"/>
    <x v="1"/>
    <n v="1"/>
    <x v="8"/>
    <n v="2"/>
    <x v="1"/>
    <n v="2804"/>
    <n v="15434"/>
    <n v="1"/>
    <s v="Y"/>
    <x v="1"/>
    <n v="11"/>
    <x v="0"/>
    <n v="4"/>
    <n v="80"/>
    <x v="0"/>
    <n v="1"/>
    <x v="1"/>
    <x v="1"/>
    <n v="1"/>
    <n v="0"/>
    <x v="0"/>
    <n v="0"/>
  </r>
  <r>
    <n v="43"/>
    <x v="1"/>
    <x v="0"/>
    <n v="823"/>
    <x v="1"/>
    <x v="16"/>
    <x v="3"/>
    <s v="Medical"/>
    <n v="1"/>
    <n v="1866"/>
    <n v="1"/>
    <x v="0"/>
    <n v="81"/>
    <x v="1"/>
    <n v="5"/>
    <x v="5"/>
    <n v="3"/>
    <x v="1"/>
    <n v="19392"/>
    <n v="22539"/>
    <n v="7"/>
    <s v="Y"/>
    <x v="1"/>
    <n v="13"/>
    <x v="0"/>
    <n v="4"/>
    <n v="80"/>
    <x v="0"/>
    <n v="21"/>
    <x v="2"/>
    <x v="1"/>
    <n v="16"/>
    <n v="12"/>
    <x v="7"/>
    <n v="14"/>
  </r>
  <r>
    <n v="48"/>
    <x v="1"/>
    <x v="0"/>
    <n v="1224"/>
    <x v="1"/>
    <x v="17"/>
    <x v="3"/>
    <s v="Life Sciences"/>
    <n v="1"/>
    <n v="1867"/>
    <n v="4"/>
    <x v="1"/>
    <n v="91"/>
    <x v="1"/>
    <n v="5"/>
    <x v="7"/>
    <n v="2"/>
    <x v="1"/>
    <n v="19665"/>
    <n v="13583"/>
    <n v="4"/>
    <s v="Y"/>
    <x v="1"/>
    <n v="12"/>
    <x v="0"/>
    <n v="4"/>
    <n v="80"/>
    <x v="0"/>
    <n v="29"/>
    <x v="1"/>
    <x v="1"/>
    <n v="22"/>
    <n v="10"/>
    <x v="12"/>
    <n v="9"/>
  </r>
  <r>
    <n v="29"/>
    <x v="0"/>
    <x v="1"/>
    <n v="459"/>
    <x v="1"/>
    <x v="4"/>
    <x v="0"/>
    <s v="Life Sciences"/>
    <n v="1"/>
    <n v="1868"/>
    <n v="4"/>
    <x v="1"/>
    <n v="73"/>
    <x v="1"/>
    <n v="1"/>
    <x v="1"/>
    <n v="4"/>
    <x v="0"/>
    <n v="2439"/>
    <n v="14753"/>
    <n v="1"/>
    <s v="Y"/>
    <x v="0"/>
    <n v="24"/>
    <x v="1"/>
    <n v="2"/>
    <n v="80"/>
    <x v="0"/>
    <n v="1"/>
    <x v="1"/>
    <x v="2"/>
    <n v="1"/>
    <n v="0"/>
    <x v="1"/>
    <n v="0"/>
  </r>
  <r>
    <n v="46"/>
    <x v="0"/>
    <x v="0"/>
    <n v="1254"/>
    <x v="0"/>
    <x v="17"/>
    <x v="3"/>
    <s v="Life Sciences"/>
    <n v="1"/>
    <n v="1869"/>
    <n v="3"/>
    <x v="0"/>
    <n v="64"/>
    <x v="0"/>
    <n v="3"/>
    <x v="0"/>
    <n v="2"/>
    <x v="1"/>
    <n v="7314"/>
    <n v="14011"/>
    <n v="5"/>
    <s v="Y"/>
    <x v="1"/>
    <n v="21"/>
    <x v="1"/>
    <n v="3"/>
    <n v="80"/>
    <x v="2"/>
    <n v="14"/>
    <x v="2"/>
    <x v="1"/>
    <n v="8"/>
    <n v="7"/>
    <x v="0"/>
    <n v="7"/>
  </r>
  <r>
    <n v="27"/>
    <x v="1"/>
    <x v="1"/>
    <n v="1131"/>
    <x v="1"/>
    <x v="8"/>
    <x v="3"/>
    <s v="Life Sciences"/>
    <n v="1"/>
    <n v="1870"/>
    <n v="4"/>
    <x v="0"/>
    <n v="77"/>
    <x v="1"/>
    <n v="1"/>
    <x v="1"/>
    <n v="1"/>
    <x v="1"/>
    <n v="4774"/>
    <n v="23844"/>
    <n v="0"/>
    <s v="Y"/>
    <x v="1"/>
    <n v="19"/>
    <x v="0"/>
    <n v="4"/>
    <n v="80"/>
    <x v="1"/>
    <n v="8"/>
    <x v="2"/>
    <x v="2"/>
    <n v="7"/>
    <n v="6"/>
    <x v="4"/>
    <n v="3"/>
  </r>
  <r>
    <n v="39"/>
    <x v="1"/>
    <x v="0"/>
    <n v="835"/>
    <x v="1"/>
    <x v="10"/>
    <x v="2"/>
    <s v="Other"/>
    <n v="1"/>
    <n v="1871"/>
    <n v="4"/>
    <x v="1"/>
    <n v="41"/>
    <x v="0"/>
    <n v="2"/>
    <x v="1"/>
    <n v="4"/>
    <x v="2"/>
    <n v="3902"/>
    <n v="5141"/>
    <n v="8"/>
    <s v="Y"/>
    <x v="1"/>
    <n v="14"/>
    <x v="0"/>
    <n v="2"/>
    <n v="80"/>
    <x v="2"/>
    <n v="7"/>
    <x v="2"/>
    <x v="1"/>
    <n v="2"/>
    <n v="2"/>
    <x v="3"/>
    <n v="2"/>
  </r>
  <r>
    <n v="55"/>
    <x v="1"/>
    <x v="0"/>
    <n v="836"/>
    <x v="1"/>
    <x v="2"/>
    <x v="2"/>
    <s v="Technical Degree"/>
    <n v="1"/>
    <n v="1873"/>
    <n v="2"/>
    <x v="1"/>
    <n v="98"/>
    <x v="1"/>
    <n v="1"/>
    <x v="1"/>
    <n v="4"/>
    <x v="1"/>
    <n v="2662"/>
    <n v="7975"/>
    <n v="8"/>
    <s v="Y"/>
    <x v="1"/>
    <n v="20"/>
    <x v="1"/>
    <n v="2"/>
    <n v="80"/>
    <x v="1"/>
    <n v="19"/>
    <x v="2"/>
    <x v="3"/>
    <n v="5"/>
    <n v="2"/>
    <x v="0"/>
    <n v="4"/>
  </r>
  <r>
    <n v="28"/>
    <x v="1"/>
    <x v="0"/>
    <n v="1172"/>
    <x v="0"/>
    <x v="3"/>
    <x v="3"/>
    <s v="Medical"/>
    <n v="1"/>
    <n v="1875"/>
    <n v="2"/>
    <x v="0"/>
    <n v="78"/>
    <x v="0"/>
    <n v="1"/>
    <x v="6"/>
    <n v="2"/>
    <x v="1"/>
    <n v="2856"/>
    <n v="3692"/>
    <n v="1"/>
    <s v="Y"/>
    <x v="1"/>
    <n v="19"/>
    <x v="0"/>
    <n v="4"/>
    <n v="80"/>
    <x v="1"/>
    <n v="1"/>
    <x v="1"/>
    <x v="1"/>
    <n v="1"/>
    <n v="0"/>
    <x v="0"/>
    <n v="0"/>
  </r>
  <r>
    <n v="30"/>
    <x v="0"/>
    <x v="0"/>
    <n v="945"/>
    <x v="0"/>
    <x v="14"/>
    <x v="3"/>
    <s v="Medical"/>
    <n v="1"/>
    <n v="1876"/>
    <n v="2"/>
    <x v="1"/>
    <n v="89"/>
    <x v="0"/>
    <n v="1"/>
    <x v="6"/>
    <n v="4"/>
    <x v="0"/>
    <n v="1081"/>
    <n v="16019"/>
    <n v="1"/>
    <s v="Y"/>
    <x v="1"/>
    <n v="13"/>
    <x v="0"/>
    <n v="3"/>
    <n v="80"/>
    <x v="0"/>
    <n v="1"/>
    <x v="1"/>
    <x v="2"/>
    <n v="1"/>
    <n v="0"/>
    <x v="0"/>
    <n v="0"/>
  </r>
  <r>
    <n v="22"/>
    <x v="0"/>
    <x v="0"/>
    <n v="391"/>
    <x v="1"/>
    <x v="15"/>
    <x v="1"/>
    <s v="Life Sciences"/>
    <n v="1"/>
    <n v="1878"/>
    <n v="4"/>
    <x v="1"/>
    <n v="75"/>
    <x v="0"/>
    <n v="1"/>
    <x v="1"/>
    <n v="2"/>
    <x v="0"/>
    <n v="2472"/>
    <n v="26092"/>
    <n v="1"/>
    <s v="Y"/>
    <x v="0"/>
    <n v="23"/>
    <x v="1"/>
    <n v="1"/>
    <n v="80"/>
    <x v="0"/>
    <n v="1"/>
    <x v="2"/>
    <x v="1"/>
    <n v="1"/>
    <n v="0"/>
    <x v="0"/>
    <n v="0"/>
  </r>
  <r>
    <n v="36"/>
    <x v="1"/>
    <x v="0"/>
    <n v="1266"/>
    <x v="0"/>
    <x v="17"/>
    <x v="2"/>
    <s v="Technical Degree"/>
    <n v="1"/>
    <n v="1880"/>
    <n v="2"/>
    <x v="0"/>
    <n v="63"/>
    <x v="1"/>
    <n v="2"/>
    <x v="0"/>
    <n v="3"/>
    <x v="1"/>
    <n v="5673"/>
    <n v="6060"/>
    <n v="1"/>
    <s v="Y"/>
    <x v="0"/>
    <n v="13"/>
    <x v="0"/>
    <n v="1"/>
    <n v="80"/>
    <x v="1"/>
    <n v="10"/>
    <x v="5"/>
    <x v="1"/>
    <n v="10"/>
    <n v="9"/>
    <x v="1"/>
    <n v="7"/>
  </r>
  <r>
    <n v="31"/>
    <x v="1"/>
    <x v="0"/>
    <n v="311"/>
    <x v="1"/>
    <x v="25"/>
    <x v="3"/>
    <s v="Life Sciences"/>
    <n v="1"/>
    <n v="1881"/>
    <n v="2"/>
    <x v="1"/>
    <n v="89"/>
    <x v="0"/>
    <n v="2"/>
    <x v="2"/>
    <n v="3"/>
    <x v="2"/>
    <n v="4197"/>
    <n v="18624"/>
    <n v="1"/>
    <s v="Y"/>
    <x v="1"/>
    <n v="11"/>
    <x v="0"/>
    <n v="1"/>
    <n v="80"/>
    <x v="1"/>
    <n v="10"/>
    <x v="2"/>
    <x v="1"/>
    <n v="10"/>
    <n v="8"/>
    <x v="0"/>
    <n v="2"/>
  </r>
  <r>
    <n v="34"/>
    <x v="1"/>
    <x v="0"/>
    <n v="1480"/>
    <x v="0"/>
    <x v="18"/>
    <x v="3"/>
    <s v="Life Sciences"/>
    <n v="1"/>
    <n v="1882"/>
    <n v="3"/>
    <x v="1"/>
    <n v="64"/>
    <x v="0"/>
    <n v="3"/>
    <x v="0"/>
    <n v="4"/>
    <x v="1"/>
    <n v="9713"/>
    <n v="24444"/>
    <n v="2"/>
    <s v="Y"/>
    <x v="0"/>
    <n v="13"/>
    <x v="0"/>
    <n v="4"/>
    <n v="80"/>
    <x v="2"/>
    <n v="9"/>
    <x v="1"/>
    <x v="1"/>
    <n v="5"/>
    <n v="3"/>
    <x v="1"/>
    <n v="0"/>
  </r>
  <r>
    <n v="29"/>
    <x v="1"/>
    <x v="0"/>
    <n v="592"/>
    <x v="1"/>
    <x v="15"/>
    <x v="3"/>
    <s v="Life Sciences"/>
    <n v="1"/>
    <n v="1883"/>
    <n v="4"/>
    <x v="1"/>
    <n v="59"/>
    <x v="0"/>
    <n v="1"/>
    <x v="2"/>
    <n v="1"/>
    <x v="0"/>
    <n v="2062"/>
    <n v="19384"/>
    <n v="3"/>
    <s v="Y"/>
    <x v="1"/>
    <n v="14"/>
    <x v="0"/>
    <n v="2"/>
    <n v="80"/>
    <x v="0"/>
    <n v="11"/>
    <x v="2"/>
    <x v="1"/>
    <n v="3"/>
    <n v="2"/>
    <x v="1"/>
    <n v="2"/>
  </r>
  <r>
    <n v="37"/>
    <x v="1"/>
    <x v="0"/>
    <n v="783"/>
    <x v="1"/>
    <x v="15"/>
    <x v="2"/>
    <s v="Medical"/>
    <n v="1"/>
    <n v="1885"/>
    <n v="4"/>
    <x v="1"/>
    <n v="78"/>
    <x v="0"/>
    <n v="2"/>
    <x v="1"/>
    <n v="1"/>
    <x v="1"/>
    <n v="4284"/>
    <n v="13588"/>
    <n v="5"/>
    <s v="Y"/>
    <x v="0"/>
    <n v="22"/>
    <x v="1"/>
    <n v="3"/>
    <n v="80"/>
    <x v="1"/>
    <n v="16"/>
    <x v="2"/>
    <x v="1"/>
    <n v="5"/>
    <n v="3"/>
    <x v="0"/>
    <n v="4"/>
  </r>
  <r>
    <n v="35"/>
    <x v="1"/>
    <x v="0"/>
    <n v="219"/>
    <x v="1"/>
    <x v="7"/>
    <x v="0"/>
    <s v="Other"/>
    <n v="1"/>
    <n v="1886"/>
    <n v="4"/>
    <x v="0"/>
    <n v="44"/>
    <x v="1"/>
    <n v="2"/>
    <x v="3"/>
    <n v="2"/>
    <x v="1"/>
    <n v="4788"/>
    <n v="25388"/>
    <n v="0"/>
    <s v="Y"/>
    <x v="0"/>
    <n v="11"/>
    <x v="0"/>
    <n v="4"/>
    <n v="80"/>
    <x v="0"/>
    <n v="4"/>
    <x v="2"/>
    <x v="1"/>
    <n v="3"/>
    <n v="2"/>
    <x v="0"/>
    <n v="2"/>
  </r>
  <r>
    <n v="45"/>
    <x v="1"/>
    <x v="0"/>
    <n v="556"/>
    <x v="1"/>
    <x v="19"/>
    <x v="0"/>
    <s v="Life Sciences"/>
    <n v="1"/>
    <n v="1888"/>
    <n v="2"/>
    <x v="0"/>
    <n v="93"/>
    <x v="1"/>
    <n v="2"/>
    <x v="3"/>
    <n v="4"/>
    <x v="1"/>
    <n v="5906"/>
    <n v="23888"/>
    <n v="0"/>
    <s v="Y"/>
    <x v="1"/>
    <n v="13"/>
    <x v="0"/>
    <n v="4"/>
    <n v="80"/>
    <x v="3"/>
    <n v="10"/>
    <x v="2"/>
    <x v="2"/>
    <n v="9"/>
    <n v="8"/>
    <x v="2"/>
    <n v="8"/>
  </r>
  <r>
    <n v="36"/>
    <x v="1"/>
    <x v="1"/>
    <n v="1213"/>
    <x v="2"/>
    <x v="2"/>
    <x v="1"/>
    <s v="Human Resources"/>
    <n v="1"/>
    <n v="1890"/>
    <n v="2"/>
    <x v="1"/>
    <n v="94"/>
    <x v="1"/>
    <n v="2"/>
    <x v="8"/>
    <n v="4"/>
    <x v="0"/>
    <n v="3886"/>
    <n v="4223"/>
    <n v="1"/>
    <s v="Y"/>
    <x v="1"/>
    <n v="21"/>
    <x v="1"/>
    <n v="4"/>
    <n v="80"/>
    <x v="0"/>
    <n v="10"/>
    <x v="2"/>
    <x v="2"/>
    <n v="10"/>
    <n v="1"/>
    <x v="0"/>
    <n v="8"/>
  </r>
  <r>
    <n v="40"/>
    <x v="1"/>
    <x v="0"/>
    <n v="1137"/>
    <x v="1"/>
    <x v="0"/>
    <x v="2"/>
    <s v="Life Sciences"/>
    <n v="1"/>
    <n v="1892"/>
    <n v="1"/>
    <x v="1"/>
    <n v="98"/>
    <x v="0"/>
    <n v="4"/>
    <x v="5"/>
    <n v="1"/>
    <x v="2"/>
    <n v="16823"/>
    <n v="18991"/>
    <n v="2"/>
    <s v="Y"/>
    <x v="1"/>
    <n v="11"/>
    <x v="0"/>
    <n v="1"/>
    <n v="80"/>
    <x v="1"/>
    <n v="22"/>
    <x v="1"/>
    <x v="1"/>
    <n v="19"/>
    <n v="7"/>
    <x v="14"/>
    <n v="16"/>
  </r>
  <r>
    <n v="26"/>
    <x v="1"/>
    <x v="0"/>
    <n v="482"/>
    <x v="1"/>
    <x v="0"/>
    <x v="0"/>
    <s v="Life Sciences"/>
    <n v="1"/>
    <n v="1893"/>
    <n v="2"/>
    <x v="0"/>
    <n v="90"/>
    <x v="1"/>
    <n v="1"/>
    <x v="1"/>
    <n v="3"/>
    <x v="1"/>
    <n v="2933"/>
    <n v="14908"/>
    <n v="1"/>
    <s v="Y"/>
    <x v="0"/>
    <n v="13"/>
    <x v="0"/>
    <n v="3"/>
    <n v="80"/>
    <x v="1"/>
    <n v="1"/>
    <x v="1"/>
    <x v="2"/>
    <n v="1"/>
    <n v="0"/>
    <x v="1"/>
    <n v="0"/>
  </r>
  <r>
    <n v="27"/>
    <x v="1"/>
    <x v="0"/>
    <n v="511"/>
    <x v="0"/>
    <x v="2"/>
    <x v="0"/>
    <s v="Medical"/>
    <n v="1"/>
    <n v="1898"/>
    <n v="1"/>
    <x v="0"/>
    <n v="89"/>
    <x v="2"/>
    <n v="2"/>
    <x v="0"/>
    <n v="3"/>
    <x v="0"/>
    <n v="6500"/>
    <n v="26997"/>
    <n v="0"/>
    <s v="Y"/>
    <x v="1"/>
    <n v="14"/>
    <x v="0"/>
    <n v="2"/>
    <n v="80"/>
    <x v="0"/>
    <n v="9"/>
    <x v="3"/>
    <x v="2"/>
    <n v="8"/>
    <n v="7"/>
    <x v="0"/>
    <n v="7"/>
  </r>
  <r>
    <n v="48"/>
    <x v="1"/>
    <x v="1"/>
    <n v="117"/>
    <x v="1"/>
    <x v="23"/>
    <x v="3"/>
    <s v="Medical"/>
    <n v="1"/>
    <n v="1900"/>
    <n v="4"/>
    <x v="0"/>
    <n v="58"/>
    <x v="0"/>
    <n v="4"/>
    <x v="5"/>
    <n v="4"/>
    <x v="2"/>
    <n v="17174"/>
    <n v="2437"/>
    <n v="3"/>
    <s v="Y"/>
    <x v="1"/>
    <n v="11"/>
    <x v="0"/>
    <n v="2"/>
    <n v="80"/>
    <x v="1"/>
    <n v="24"/>
    <x v="1"/>
    <x v="1"/>
    <n v="22"/>
    <n v="17"/>
    <x v="5"/>
    <n v="7"/>
  </r>
  <r>
    <n v="44"/>
    <x v="1"/>
    <x v="0"/>
    <n v="170"/>
    <x v="1"/>
    <x v="0"/>
    <x v="2"/>
    <s v="Life Sciences"/>
    <n v="1"/>
    <n v="1903"/>
    <n v="2"/>
    <x v="1"/>
    <n v="78"/>
    <x v="2"/>
    <n v="2"/>
    <x v="4"/>
    <n v="1"/>
    <x v="1"/>
    <n v="5033"/>
    <n v="9364"/>
    <n v="2"/>
    <s v="Y"/>
    <x v="1"/>
    <n v="15"/>
    <x v="0"/>
    <n v="4"/>
    <n v="80"/>
    <x v="1"/>
    <n v="10"/>
    <x v="3"/>
    <x v="1"/>
    <n v="2"/>
    <n v="0"/>
    <x v="3"/>
    <n v="2"/>
  </r>
  <r>
    <n v="34"/>
    <x v="0"/>
    <x v="2"/>
    <n v="967"/>
    <x v="1"/>
    <x v="7"/>
    <x v="2"/>
    <s v="Technical Degree"/>
    <n v="1"/>
    <n v="1905"/>
    <n v="4"/>
    <x v="1"/>
    <n v="85"/>
    <x v="3"/>
    <n v="1"/>
    <x v="1"/>
    <n v="1"/>
    <x v="1"/>
    <n v="2307"/>
    <n v="14460"/>
    <n v="1"/>
    <s v="Y"/>
    <x v="0"/>
    <n v="23"/>
    <x v="1"/>
    <n v="2"/>
    <n v="80"/>
    <x v="1"/>
    <n v="5"/>
    <x v="2"/>
    <x v="1"/>
    <n v="5"/>
    <n v="2"/>
    <x v="2"/>
    <n v="0"/>
  </r>
  <r>
    <n v="56"/>
    <x v="0"/>
    <x v="0"/>
    <n v="1162"/>
    <x v="1"/>
    <x v="4"/>
    <x v="0"/>
    <s v="Life Sciences"/>
    <n v="1"/>
    <n v="1907"/>
    <n v="1"/>
    <x v="1"/>
    <n v="97"/>
    <x v="0"/>
    <n v="1"/>
    <x v="2"/>
    <n v="4"/>
    <x v="0"/>
    <n v="2587"/>
    <n v="10261"/>
    <n v="1"/>
    <s v="Y"/>
    <x v="1"/>
    <n v="16"/>
    <x v="0"/>
    <n v="4"/>
    <n v="80"/>
    <x v="0"/>
    <n v="5"/>
    <x v="1"/>
    <x v="1"/>
    <n v="4"/>
    <n v="2"/>
    <x v="1"/>
    <n v="0"/>
  </r>
  <r>
    <n v="36"/>
    <x v="1"/>
    <x v="0"/>
    <n v="335"/>
    <x v="0"/>
    <x v="27"/>
    <x v="0"/>
    <s v="Marketing"/>
    <n v="1"/>
    <n v="1908"/>
    <n v="3"/>
    <x v="1"/>
    <n v="33"/>
    <x v="1"/>
    <n v="2"/>
    <x v="0"/>
    <n v="2"/>
    <x v="1"/>
    <n v="5507"/>
    <n v="16822"/>
    <n v="2"/>
    <s v="Y"/>
    <x v="1"/>
    <n v="16"/>
    <x v="0"/>
    <n v="3"/>
    <n v="80"/>
    <x v="3"/>
    <n v="12"/>
    <x v="4"/>
    <x v="0"/>
    <n v="4"/>
    <n v="2"/>
    <x v="1"/>
    <n v="3"/>
  </r>
  <r>
    <n v="41"/>
    <x v="1"/>
    <x v="0"/>
    <n v="337"/>
    <x v="0"/>
    <x v="1"/>
    <x v="3"/>
    <s v="Marketing"/>
    <n v="1"/>
    <n v="1909"/>
    <n v="3"/>
    <x v="0"/>
    <n v="54"/>
    <x v="0"/>
    <n v="2"/>
    <x v="0"/>
    <n v="2"/>
    <x v="1"/>
    <n v="4393"/>
    <n v="26841"/>
    <n v="5"/>
    <s v="Y"/>
    <x v="1"/>
    <n v="21"/>
    <x v="1"/>
    <n v="3"/>
    <n v="80"/>
    <x v="1"/>
    <n v="14"/>
    <x v="1"/>
    <x v="1"/>
    <n v="5"/>
    <n v="4"/>
    <x v="1"/>
    <n v="4"/>
  </r>
  <r>
    <n v="42"/>
    <x v="1"/>
    <x v="0"/>
    <n v="1396"/>
    <x v="1"/>
    <x v="16"/>
    <x v="3"/>
    <s v="Medical"/>
    <n v="1"/>
    <n v="1911"/>
    <n v="3"/>
    <x v="1"/>
    <n v="83"/>
    <x v="0"/>
    <n v="3"/>
    <x v="7"/>
    <n v="1"/>
    <x v="1"/>
    <n v="13348"/>
    <n v="14842"/>
    <n v="9"/>
    <s v="Y"/>
    <x v="1"/>
    <n v="13"/>
    <x v="0"/>
    <n v="2"/>
    <n v="80"/>
    <x v="1"/>
    <n v="18"/>
    <x v="1"/>
    <x v="3"/>
    <n v="13"/>
    <n v="7"/>
    <x v="8"/>
    <n v="7"/>
  </r>
  <r>
    <n v="31"/>
    <x v="1"/>
    <x v="0"/>
    <n v="1079"/>
    <x v="0"/>
    <x v="17"/>
    <x v="0"/>
    <s v="Medical"/>
    <n v="1"/>
    <n v="1912"/>
    <n v="3"/>
    <x v="0"/>
    <n v="86"/>
    <x v="0"/>
    <n v="2"/>
    <x v="0"/>
    <n v="4"/>
    <x v="2"/>
    <n v="6583"/>
    <n v="20115"/>
    <n v="2"/>
    <s v="Y"/>
    <x v="0"/>
    <n v="11"/>
    <x v="0"/>
    <n v="4"/>
    <n v="80"/>
    <x v="1"/>
    <n v="8"/>
    <x v="2"/>
    <x v="1"/>
    <n v="5"/>
    <n v="2"/>
    <x v="1"/>
    <n v="4"/>
  </r>
  <r>
    <n v="34"/>
    <x v="1"/>
    <x v="0"/>
    <n v="735"/>
    <x v="0"/>
    <x v="3"/>
    <x v="1"/>
    <s v="Medical"/>
    <n v="1"/>
    <n v="1915"/>
    <n v="4"/>
    <x v="0"/>
    <n v="75"/>
    <x v="1"/>
    <n v="2"/>
    <x v="0"/>
    <n v="4"/>
    <x v="1"/>
    <n v="8103"/>
    <n v="16495"/>
    <n v="3"/>
    <s v="Y"/>
    <x v="0"/>
    <n v="12"/>
    <x v="0"/>
    <n v="3"/>
    <n v="80"/>
    <x v="0"/>
    <n v="9"/>
    <x v="1"/>
    <x v="2"/>
    <n v="4"/>
    <n v="2"/>
    <x v="0"/>
    <n v="1"/>
  </r>
  <r>
    <n v="31"/>
    <x v="1"/>
    <x v="0"/>
    <n v="471"/>
    <x v="1"/>
    <x v="18"/>
    <x v="3"/>
    <s v="Medical"/>
    <n v="1"/>
    <n v="1916"/>
    <n v="1"/>
    <x v="0"/>
    <n v="62"/>
    <x v="2"/>
    <n v="1"/>
    <x v="2"/>
    <n v="3"/>
    <x v="2"/>
    <n v="3978"/>
    <n v="16031"/>
    <n v="8"/>
    <s v="Y"/>
    <x v="1"/>
    <n v="12"/>
    <x v="0"/>
    <n v="2"/>
    <n v="80"/>
    <x v="1"/>
    <n v="4"/>
    <x v="0"/>
    <x v="2"/>
    <n v="2"/>
    <n v="2"/>
    <x v="3"/>
    <n v="2"/>
  </r>
  <r>
    <n v="26"/>
    <x v="1"/>
    <x v="1"/>
    <n v="1096"/>
    <x v="1"/>
    <x v="16"/>
    <x v="3"/>
    <s v="Other"/>
    <n v="1"/>
    <n v="1918"/>
    <n v="3"/>
    <x v="1"/>
    <n v="61"/>
    <x v="2"/>
    <n v="1"/>
    <x v="2"/>
    <n v="4"/>
    <x v="1"/>
    <n v="2544"/>
    <n v="7102"/>
    <n v="0"/>
    <s v="Y"/>
    <x v="1"/>
    <n v="18"/>
    <x v="0"/>
    <n v="1"/>
    <n v="80"/>
    <x v="1"/>
    <n v="8"/>
    <x v="1"/>
    <x v="1"/>
    <n v="7"/>
    <n v="7"/>
    <x v="4"/>
    <n v="7"/>
  </r>
  <r>
    <n v="45"/>
    <x v="1"/>
    <x v="1"/>
    <n v="1297"/>
    <x v="1"/>
    <x v="0"/>
    <x v="2"/>
    <s v="Medical"/>
    <n v="1"/>
    <n v="1922"/>
    <n v="2"/>
    <x v="1"/>
    <n v="44"/>
    <x v="0"/>
    <n v="2"/>
    <x v="4"/>
    <n v="3"/>
    <x v="0"/>
    <n v="5399"/>
    <n v="14511"/>
    <n v="4"/>
    <s v="Y"/>
    <x v="1"/>
    <n v="12"/>
    <x v="0"/>
    <n v="3"/>
    <n v="80"/>
    <x v="0"/>
    <n v="12"/>
    <x v="1"/>
    <x v="1"/>
    <n v="4"/>
    <n v="2"/>
    <x v="0"/>
    <n v="3"/>
  </r>
  <r>
    <n v="33"/>
    <x v="1"/>
    <x v="0"/>
    <n v="217"/>
    <x v="0"/>
    <x v="17"/>
    <x v="2"/>
    <s v="Marketing"/>
    <n v="1"/>
    <n v="1924"/>
    <n v="2"/>
    <x v="1"/>
    <n v="43"/>
    <x v="0"/>
    <n v="2"/>
    <x v="0"/>
    <n v="3"/>
    <x v="0"/>
    <n v="5487"/>
    <n v="10410"/>
    <n v="1"/>
    <s v="Y"/>
    <x v="1"/>
    <n v="14"/>
    <x v="0"/>
    <n v="2"/>
    <n v="80"/>
    <x v="0"/>
    <n v="10"/>
    <x v="2"/>
    <x v="2"/>
    <n v="10"/>
    <n v="4"/>
    <x v="0"/>
    <n v="9"/>
  </r>
  <r>
    <n v="28"/>
    <x v="1"/>
    <x v="1"/>
    <n v="783"/>
    <x v="0"/>
    <x v="0"/>
    <x v="0"/>
    <s v="Life Sciences"/>
    <n v="1"/>
    <n v="1927"/>
    <n v="3"/>
    <x v="1"/>
    <n v="42"/>
    <x v="1"/>
    <n v="2"/>
    <x v="0"/>
    <n v="4"/>
    <x v="1"/>
    <n v="6834"/>
    <n v="19255"/>
    <n v="1"/>
    <s v="Y"/>
    <x v="0"/>
    <n v="12"/>
    <x v="0"/>
    <n v="3"/>
    <n v="80"/>
    <x v="1"/>
    <n v="7"/>
    <x v="2"/>
    <x v="1"/>
    <n v="7"/>
    <n v="7"/>
    <x v="0"/>
    <n v="7"/>
  </r>
  <r>
    <n v="29"/>
    <x v="0"/>
    <x v="1"/>
    <n v="746"/>
    <x v="0"/>
    <x v="4"/>
    <x v="3"/>
    <s v="Technical Degree"/>
    <n v="1"/>
    <n v="1928"/>
    <n v="3"/>
    <x v="1"/>
    <n v="45"/>
    <x v="2"/>
    <n v="1"/>
    <x v="6"/>
    <n v="1"/>
    <x v="0"/>
    <n v="1091"/>
    <n v="10642"/>
    <n v="1"/>
    <s v="Y"/>
    <x v="1"/>
    <n v="17"/>
    <x v="0"/>
    <n v="4"/>
    <n v="80"/>
    <x v="0"/>
    <n v="1"/>
    <x v="1"/>
    <x v="1"/>
    <n v="1"/>
    <n v="0"/>
    <x v="0"/>
    <n v="0"/>
  </r>
  <r>
    <n v="39"/>
    <x v="1"/>
    <x v="2"/>
    <n v="1251"/>
    <x v="0"/>
    <x v="11"/>
    <x v="2"/>
    <s v="Life Sciences"/>
    <n v="1"/>
    <n v="1929"/>
    <n v="1"/>
    <x v="0"/>
    <n v="32"/>
    <x v="3"/>
    <n v="2"/>
    <x v="0"/>
    <n v="3"/>
    <x v="1"/>
    <n v="5736"/>
    <n v="3987"/>
    <n v="6"/>
    <s v="Y"/>
    <x v="1"/>
    <n v="19"/>
    <x v="0"/>
    <n v="3"/>
    <n v="80"/>
    <x v="1"/>
    <n v="10"/>
    <x v="4"/>
    <x v="1"/>
    <n v="3"/>
    <n v="2"/>
    <x v="1"/>
    <n v="2"/>
  </r>
  <r>
    <n v="27"/>
    <x v="1"/>
    <x v="0"/>
    <n v="1354"/>
    <x v="1"/>
    <x v="2"/>
    <x v="2"/>
    <s v="Technical Degree"/>
    <n v="1"/>
    <n v="1931"/>
    <n v="2"/>
    <x v="1"/>
    <n v="41"/>
    <x v="0"/>
    <n v="1"/>
    <x v="1"/>
    <n v="2"/>
    <x v="1"/>
    <n v="2226"/>
    <n v="6073"/>
    <n v="1"/>
    <s v="Y"/>
    <x v="1"/>
    <n v="11"/>
    <x v="0"/>
    <n v="3"/>
    <n v="80"/>
    <x v="1"/>
    <n v="6"/>
    <x v="1"/>
    <x v="2"/>
    <n v="5"/>
    <n v="3"/>
    <x v="1"/>
    <n v="2"/>
  </r>
  <r>
    <n v="34"/>
    <x v="1"/>
    <x v="1"/>
    <n v="735"/>
    <x v="1"/>
    <x v="23"/>
    <x v="2"/>
    <s v="Other"/>
    <n v="1"/>
    <n v="1932"/>
    <n v="3"/>
    <x v="1"/>
    <n v="86"/>
    <x v="1"/>
    <n v="2"/>
    <x v="1"/>
    <n v="4"/>
    <x v="1"/>
    <n v="5747"/>
    <n v="26496"/>
    <n v="1"/>
    <s v="Y"/>
    <x v="0"/>
    <n v="15"/>
    <x v="0"/>
    <n v="2"/>
    <n v="80"/>
    <x v="0"/>
    <n v="16"/>
    <x v="1"/>
    <x v="1"/>
    <n v="15"/>
    <n v="10"/>
    <x v="7"/>
    <n v="11"/>
  </r>
  <r>
    <n v="28"/>
    <x v="0"/>
    <x v="0"/>
    <n v="1475"/>
    <x v="0"/>
    <x v="28"/>
    <x v="0"/>
    <s v="Marketing"/>
    <n v="1"/>
    <n v="1933"/>
    <n v="4"/>
    <x v="0"/>
    <n v="84"/>
    <x v="0"/>
    <n v="2"/>
    <x v="0"/>
    <n v="3"/>
    <x v="0"/>
    <n v="9854"/>
    <n v="23352"/>
    <n v="3"/>
    <s v="Y"/>
    <x v="0"/>
    <n v="11"/>
    <x v="0"/>
    <n v="4"/>
    <n v="80"/>
    <x v="0"/>
    <n v="6"/>
    <x v="0"/>
    <x v="1"/>
    <n v="2"/>
    <n v="0"/>
    <x v="3"/>
    <n v="2"/>
  </r>
  <r>
    <n v="47"/>
    <x v="1"/>
    <x v="2"/>
    <n v="1169"/>
    <x v="1"/>
    <x v="24"/>
    <x v="2"/>
    <s v="Technical Degree"/>
    <n v="1"/>
    <n v="1934"/>
    <n v="3"/>
    <x v="1"/>
    <n v="64"/>
    <x v="0"/>
    <n v="2"/>
    <x v="1"/>
    <n v="2"/>
    <x v="1"/>
    <n v="5467"/>
    <n v="2125"/>
    <n v="8"/>
    <s v="Y"/>
    <x v="1"/>
    <n v="18"/>
    <x v="0"/>
    <n v="3"/>
    <n v="80"/>
    <x v="1"/>
    <n v="16"/>
    <x v="5"/>
    <x v="3"/>
    <n v="8"/>
    <n v="7"/>
    <x v="1"/>
    <n v="7"/>
  </r>
  <r>
    <n v="56"/>
    <x v="1"/>
    <x v="0"/>
    <n v="1443"/>
    <x v="0"/>
    <x v="13"/>
    <x v="4"/>
    <s v="Marketing"/>
    <n v="1"/>
    <n v="1935"/>
    <n v="4"/>
    <x v="0"/>
    <n v="89"/>
    <x v="1"/>
    <n v="2"/>
    <x v="0"/>
    <n v="1"/>
    <x v="1"/>
    <n v="5380"/>
    <n v="20328"/>
    <n v="4"/>
    <s v="Y"/>
    <x v="1"/>
    <n v="16"/>
    <x v="0"/>
    <n v="3"/>
    <n v="80"/>
    <x v="1"/>
    <n v="6"/>
    <x v="1"/>
    <x v="1"/>
    <n v="0"/>
    <n v="0"/>
    <x v="0"/>
    <n v="0"/>
  </r>
  <r>
    <n v="39"/>
    <x v="1"/>
    <x v="0"/>
    <n v="867"/>
    <x v="1"/>
    <x v="14"/>
    <x v="0"/>
    <s v="Medical"/>
    <n v="1"/>
    <n v="1936"/>
    <n v="1"/>
    <x v="1"/>
    <n v="87"/>
    <x v="0"/>
    <n v="2"/>
    <x v="3"/>
    <n v="1"/>
    <x v="1"/>
    <n v="5151"/>
    <n v="12315"/>
    <n v="1"/>
    <s v="Y"/>
    <x v="1"/>
    <n v="25"/>
    <x v="1"/>
    <n v="4"/>
    <n v="80"/>
    <x v="1"/>
    <n v="10"/>
    <x v="1"/>
    <x v="1"/>
    <n v="10"/>
    <n v="0"/>
    <x v="4"/>
    <n v="9"/>
  </r>
  <r>
    <n v="38"/>
    <x v="1"/>
    <x v="1"/>
    <n v="1394"/>
    <x v="1"/>
    <x v="1"/>
    <x v="3"/>
    <s v="Medical"/>
    <n v="1"/>
    <n v="1937"/>
    <n v="4"/>
    <x v="0"/>
    <n v="58"/>
    <x v="1"/>
    <n v="2"/>
    <x v="1"/>
    <n v="2"/>
    <x v="2"/>
    <n v="2133"/>
    <n v="18115"/>
    <n v="1"/>
    <s v="Y"/>
    <x v="0"/>
    <n v="16"/>
    <x v="0"/>
    <n v="3"/>
    <n v="80"/>
    <x v="1"/>
    <n v="20"/>
    <x v="1"/>
    <x v="1"/>
    <n v="20"/>
    <n v="11"/>
    <x v="0"/>
    <n v="7"/>
  </r>
  <r>
    <n v="58"/>
    <x v="1"/>
    <x v="0"/>
    <n v="605"/>
    <x v="0"/>
    <x v="11"/>
    <x v="3"/>
    <s v="Life Sciences"/>
    <n v="1"/>
    <n v="1938"/>
    <n v="4"/>
    <x v="0"/>
    <n v="72"/>
    <x v="0"/>
    <n v="4"/>
    <x v="5"/>
    <n v="4"/>
    <x v="1"/>
    <n v="17875"/>
    <n v="11761"/>
    <n v="4"/>
    <s v="Y"/>
    <x v="0"/>
    <n v="13"/>
    <x v="0"/>
    <n v="3"/>
    <n v="80"/>
    <x v="1"/>
    <n v="29"/>
    <x v="2"/>
    <x v="2"/>
    <n v="1"/>
    <n v="0"/>
    <x v="0"/>
    <n v="0"/>
  </r>
  <r>
    <n v="32"/>
    <x v="0"/>
    <x v="1"/>
    <n v="238"/>
    <x v="1"/>
    <x v="12"/>
    <x v="0"/>
    <s v="Life Sciences"/>
    <n v="1"/>
    <n v="1939"/>
    <n v="1"/>
    <x v="0"/>
    <n v="47"/>
    <x v="2"/>
    <n v="1"/>
    <x v="1"/>
    <n v="3"/>
    <x v="0"/>
    <n v="2432"/>
    <n v="15318"/>
    <n v="3"/>
    <s v="Y"/>
    <x v="0"/>
    <n v="14"/>
    <x v="0"/>
    <n v="1"/>
    <n v="80"/>
    <x v="0"/>
    <n v="8"/>
    <x v="2"/>
    <x v="1"/>
    <n v="4"/>
    <n v="1"/>
    <x v="0"/>
    <n v="3"/>
  </r>
  <r>
    <n v="38"/>
    <x v="1"/>
    <x v="0"/>
    <n v="1206"/>
    <x v="1"/>
    <x v="14"/>
    <x v="0"/>
    <s v="Life Sciences"/>
    <n v="1"/>
    <n v="1940"/>
    <n v="2"/>
    <x v="1"/>
    <n v="71"/>
    <x v="0"/>
    <n v="1"/>
    <x v="1"/>
    <n v="4"/>
    <x v="2"/>
    <n v="4771"/>
    <n v="14293"/>
    <n v="2"/>
    <s v="Y"/>
    <x v="1"/>
    <n v="19"/>
    <x v="0"/>
    <n v="4"/>
    <n v="80"/>
    <x v="3"/>
    <n v="10"/>
    <x v="0"/>
    <x v="3"/>
    <n v="5"/>
    <n v="2"/>
    <x v="0"/>
    <n v="3"/>
  </r>
  <r>
    <n v="49"/>
    <x v="1"/>
    <x v="1"/>
    <n v="1064"/>
    <x v="1"/>
    <x v="2"/>
    <x v="1"/>
    <s v="Life Sciences"/>
    <n v="1"/>
    <n v="1941"/>
    <n v="2"/>
    <x v="1"/>
    <n v="42"/>
    <x v="0"/>
    <n v="5"/>
    <x v="7"/>
    <n v="4"/>
    <x v="1"/>
    <n v="19161"/>
    <n v="13738"/>
    <n v="3"/>
    <s v="Y"/>
    <x v="1"/>
    <n v="15"/>
    <x v="0"/>
    <n v="4"/>
    <n v="80"/>
    <x v="0"/>
    <n v="28"/>
    <x v="1"/>
    <x v="1"/>
    <n v="5"/>
    <n v="4"/>
    <x v="5"/>
    <n v="3"/>
  </r>
  <r>
    <n v="42"/>
    <x v="1"/>
    <x v="0"/>
    <n v="419"/>
    <x v="0"/>
    <x v="20"/>
    <x v="2"/>
    <s v="Marketing"/>
    <n v="1"/>
    <n v="1943"/>
    <n v="2"/>
    <x v="1"/>
    <n v="77"/>
    <x v="0"/>
    <n v="2"/>
    <x v="0"/>
    <n v="4"/>
    <x v="2"/>
    <n v="5087"/>
    <n v="2900"/>
    <n v="3"/>
    <s v="Y"/>
    <x v="0"/>
    <n v="12"/>
    <x v="0"/>
    <n v="3"/>
    <n v="80"/>
    <x v="3"/>
    <n v="14"/>
    <x v="5"/>
    <x v="1"/>
    <n v="0"/>
    <n v="0"/>
    <x v="0"/>
    <n v="0"/>
  </r>
  <r>
    <n v="27"/>
    <x v="0"/>
    <x v="1"/>
    <n v="1337"/>
    <x v="2"/>
    <x v="23"/>
    <x v="3"/>
    <s v="Human Resources"/>
    <n v="1"/>
    <n v="1944"/>
    <n v="1"/>
    <x v="0"/>
    <n v="58"/>
    <x v="1"/>
    <n v="1"/>
    <x v="8"/>
    <n v="2"/>
    <x v="1"/>
    <n v="2863"/>
    <n v="19555"/>
    <n v="1"/>
    <s v="Y"/>
    <x v="1"/>
    <n v="12"/>
    <x v="0"/>
    <n v="1"/>
    <n v="80"/>
    <x v="0"/>
    <n v="1"/>
    <x v="2"/>
    <x v="1"/>
    <n v="1"/>
    <n v="0"/>
    <x v="0"/>
    <n v="0"/>
  </r>
  <r>
    <n v="35"/>
    <x v="1"/>
    <x v="0"/>
    <n v="682"/>
    <x v="0"/>
    <x v="21"/>
    <x v="2"/>
    <s v="Medical"/>
    <n v="1"/>
    <n v="1945"/>
    <n v="2"/>
    <x v="1"/>
    <n v="71"/>
    <x v="0"/>
    <n v="2"/>
    <x v="0"/>
    <n v="1"/>
    <x v="1"/>
    <n v="5561"/>
    <n v="15975"/>
    <n v="0"/>
    <s v="Y"/>
    <x v="1"/>
    <n v="16"/>
    <x v="0"/>
    <n v="4"/>
    <n v="80"/>
    <x v="1"/>
    <n v="6"/>
    <x v="2"/>
    <x v="0"/>
    <n v="5"/>
    <n v="3"/>
    <x v="0"/>
    <n v="4"/>
  </r>
  <r>
    <n v="28"/>
    <x v="1"/>
    <x v="2"/>
    <n v="1103"/>
    <x v="1"/>
    <x v="7"/>
    <x v="3"/>
    <s v="Medical"/>
    <n v="1"/>
    <n v="1947"/>
    <n v="3"/>
    <x v="1"/>
    <n v="49"/>
    <x v="0"/>
    <n v="1"/>
    <x v="1"/>
    <n v="3"/>
    <x v="0"/>
    <n v="2144"/>
    <n v="2122"/>
    <n v="1"/>
    <s v="Y"/>
    <x v="1"/>
    <n v="14"/>
    <x v="0"/>
    <n v="3"/>
    <n v="80"/>
    <x v="0"/>
    <n v="5"/>
    <x v="1"/>
    <x v="2"/>
    <n v="5"/>
    <n v="3"/>
    <x v="1"/>
    <n v="4"/>
  </r>
  <r>
    <n v="31"/>
    <x v="1"/>
    <x v="2"/>
    <n v="976"/>
    <x v="1"/>
    <x v="3"/>
    <x v="0"/>
    <s v="Medical"/>
    <n v="1"/>
    <n v="1948"/>
    <n v="3"/>
    <x v="1"/>
    <n v="48"/>
    <x v="0"/>
    <n v="1"/>
    <x v="1"/>
    <n v="1"/>
    <x v="2"/>
    <n v="3065"/>
    <n v="3995"/>
    <n v="1"/>
    <s v="Y"/>
    <x v="0"/>
    <n v="13"/>
    <x v="0"/>
    <n v="4"/>
    <n v="80"/>
    <x v="1"/>
    <n v="4"/>
    <x v="1"/>
    <x v="3"/>
    <n v="4"/>
    <n v="2"/>
    <x v="3"/>
    <n v="3"/>
  </r>
  <r>
    <n v="36"/>
    <x v="1"/>
    <x v="2"/>
    <n v="1351"/>
    <x v="1"/>
    <x v="14"/>
    <x v="2"/>
    <s v="Life Sciences"/>
    <n v="1"/>
    <n v="1949"/>
    <n v="1"/>
    <x v="1"/>
    <n v="66"/>
    <x v="2"/>
    <n v="1"/>
    <x v="2"/>
    <n v="2"/>
    <x v="1"/>
    <n v="2810"/>
    <n v="9238"/>
    <n v="1"/>
    <s v="Y"/>
    <x v="1"/>
    <n v="22"/>
    <x v="1"/>
    <n v="2"/>
    <n v="80"/>
    <x v="0"/>
    <n v="5"/>
    <x v="1"/>
    <x v="1"/>
    <n v="5"/>
    <n v="4"/>
    <x v="0"/>
    <n v="2"/>
  </r>
  <r>
    <n v="34"/>
    <x v="1"/>
    <x v="0"/>
    <n v="937"/>
    <x v="0"/>
    <x v="0"/>
    <x v="3"/>
    <s v="Marketing"/>
    <n v="1"/>
    <n v="1950"/>
    <n v="1"/>
    <x v="1"/>
    <n v="32"/>
    <x v="0"/>
    <n v="3"/>
    <x v="0"/>
    <n v="4"/>
    <x v="0"/>
    <n v="9888"/>
    <n v="6770"/>
    <n v="1"/>
    <s v="Y"/>
    <x v="1"/>
    <n v="21"/>
    <x v="1"/>
    <n v="1"/>
    <n v="80"/>
    <x v="0"/>
    <n v="14"/>
    <x v="1"/>
    <x v="2"/>
    <n v="14"/>
    <n v="8"/>
    <x v="3"/>
    <n v="1"/>
  </r>
  <r>
    <n v="34"/>
    <x v="1"/>
    <x v="0"/>
    <n v="1239"/>
    <x v="0"/>
    <x v="28"/>
    <x v="2"/>
    <s v="Medical"/>
    <n v="1"/>
    <n v="1951"/>
    <n v="4"/>
    <x v="1"/>
    <n v="39"/>
    <x v="0"/>
    <n v="3"/>
    <x v="0"/>
    <n v="3"/>
    <x v="2"/>
    <n v="8628"/>
    <n v="22914"/>
    <n v="1"/>
    <s v="Y"/>
    <x v="1"/>
    <n v="18"/>
    <x v="0"/>
    <n v="3"/>
    <n v="80"/>
    <x v="1"/>
    <n v="9"/>
    <x v="2"/>
    <x v="2"/>
    <n v="8"/>
    <n v="7"/>
    <x v="1"/>
    <n v="1"/>
  </r>
  <r>
    <n v="26"/>
    <x v="1"/>
    <x v="0"/>
    <n v="157"/>
    <x v="1"/>
    <x v="0"/>
    <x v="3"/>
    <s v="Medical"/>
    <n v="1"/>
    <n v="1952"/>
    <n v="3"/>
    <x v="1"/>
    <n v="95"/>
    <x v="0"/>
    <n v="1"/>
    <x v="2"/>
    <n v="1"/>
    <x v="0"/>
    <n v="2867"/>
    <n v="20006"/>
    <n v="0"/>
    <s v="Y"/>
    <x v="1"/>
    <n v="13"/>
    <x v="0"/>
    <n v="4"/>
    <n v="80"/>
    <x v="0"/>
    <n v="8"/>
    <x v="6"/>
    <x v="2"/>
    <n v="7"/>
    <n v="7"/>
    <x v="4"/>
    <n v="6"/>
  </r>
  <r>
    <n v="29"/>
    <x v="1"/>
    <x v="0"/>
    <n v="136"/>
    <x v="1"/>
    <x v="0"/>
    <x v="3"/>
    <s v="Life Sciences"/>
    <n v="1"/>
    <n v="1954"/>
    <n v="1"/>
    <x v="1"/>
    <n v="89"/>
    <x v="0"/>
    <n v="2"/>
    <x v="4"/>
    <n v="1"/>
    <x v="1"/>
    <n v="5373"/>
    <n v="6225"/>
    <n v="0"/>
    <s v="Y"/>
    <x v="1"/>
    <n v="12"/>
    <x v="0"/>
    <n v="1"/>
    <n v="80"/>
    <x v="1"/>
    <n v="6"/>
    <x v="3"/>
    <x v="2"/>
    <n v="5"/>
    <n v="3"/>
    <x v="0"/>
    <n v="2"/>
  </r>
  <r>
    <n v="32"/>
    <x v="1"/>
    <x v="2"/>
    <n v="1146"/>
    <x v="1"/>
    <x v="8"/>
    <x v="2"/>
    <s v="Medical"/>
    <n v="1"/>
    <n v="1955"/>
    <n v="3"/>
    <x v="0"/>
    <n v="34"/>
    <x v="0"/>
    <n v="2"/>
    <x v="4"/>
    <n v="4"/>
    <x v="2"/>
    <n v="6667"/>
    <n v="16542"/>
    <n v="5"/>
    <s v="Y"/>
    <x v="1"/>
    <n v="18"/>
    <x v="0"/>
    <n v="2"/>
    <n v="80"/>
    <x v="1"/>
    <n v="9"/>
    <x v="6"/>
    <x v="1"/>
    <n v="5"/>
    <n v="1"/>
    <x v="1"/>
    <n v="2"/>
  </r>
  <r>
    <n v="31"/>
    <x v="1"/>
    <x v="1"/>
    <n v="1125"/>
    <x v="1"/>
    <x v="0"/>
    <x v="3"/>
    <s v="Life Sciences"/>
    <n v="1"/>
    <n v="1956"/>
    <n v="4"/>
    <x v="1"/>
    <n v="48"/>
    <x v="3"/>
    <n v="2"/>
    <x v="1"/>
    <n v="1"/>
    <x v="1"/>
    <n v="5003"/>
    <n v="5771"/>
    <n v="1"/>
    <s v="Y"/>
    <x v="1"/>
    <n v="21"/>
    <x v="1"/>
    <n v="2"/>
    <n v="80"/>
    <x v="0"/>
    <n v="10"/>
    <x v="6"/>
    <x v="1"/>
    <n v="10"/>
    <n v="8"/>
    <x v="6"/>
    <n v="7"/>
  </r>
  <r>
    <n v="28"/>
    <x v="0"/>
    <x v="0"/>
    <n v="1404"/>
    <x v="1"/>
    <x v="27"/>
    <x v="3"/>
    <s v="Technical Degree"/>
    <n v="1"/>
    <n v="1960"/>
    <n v="3"/>
    <x v="1"/>
    <n v="32"/>
    <x v="1"/>
    <n v="1"/>
    <x v="2"/>
    <n v="4"/>
    <x v="2"/>
    <n v="2367"/>
    <n v="18779"/>
    <n v="5"/>
    <s v="Y"/>
    <x v="1"/>
    <n v="12"/>
    <x v="0"/>
    <n v="1"/>
    <n v="80"/>
    <x v="1"/>
    <n v="6"/>
    <x v="2"/>
    <x v="2"/>
    <n v="4"/>
    <n v="1"/>
    <x v="0"/>
    <n v="3"/>
  </r>
  <r>
    <n v="38"/>
    <x v="1"/>
    <x v="0"/>
    <n v="1404"/>
    <x v="0"/>
    <x v="0"/>
    <x v="3"/>
    <s v="Life Sciences"/>
    <n v="1"/>
    <n v="1961"/>
    <n v="1"/>
    <x v="1"/>
    <n v="59"/>
    <x v="1"/>
    <n v="1"/>
    <x v="6"/>
    <n v="1"/>
    <x v="0"/>
    <n v="2858"/>
    <n v="11473"/>
    <n v="4"/>
    <s v="Y"/>
    <x v="1"/>
    <n v="14"/>
    <x v="0"/>
    <n v="1"/>
    <n v="80"/>
    <x v="0"/>
    <n v="20"/>
    <x v="1"/>
    <x v="2"/>
    <n v="1"/>
    <n v="0"/>
    <x v="0"/>
    <n v="0"/>
  </r>
  <r>
    <n v="35"/>
    <x v="1"/>
    <x v="0"/>
    <n v="1224"/>
    <x v="0"/>
    <x v="15"/>
    <x v="2"/>
    <s v="Life Sciences"/>
    <n v="1"/>
    <n v="1962"/>
    <n v="3"/>
    <x v="0"/>
    <n v="55"/>
    <x v="0"/>
    <n v="2"/>
    <x v="0"/>
    <n v="4"/>
    <x v="1"/>
    <n v="5204"/>
    <n v="13586"/>
    <n v="1"/>
    <s v="Y"/>
    <x v="0"/>
    <n v="11"/>
    <x v="0"/>
    <n v="4"/>
    <n v="80"/>
    <x v="0"/>
    <n v="10"/>
    <x v="2"/>
    <x v="1"/>
    <n v="10"/>
    <n v="8"/>
    <x v="0"/>
    <n v="9"/>
  </r>
  <r>
    <n v="27"/>
    <x v="1"/>
    <x v="0"/>
    <n v="954"/>
    <x v="0"/>
    <x v="14"/>
    <x v="3"/>
    <s v="Marketing"/>
    <n v="1"/>
    <n v="1965"/>
    <n v="4"/>
    <x v="1"/>
    <n v="44"/>
    <x v="0"/>
    <n v="2"/>
    <x v="0"/>
    <n v="4"/>
    <x v="0"/>
    <n v="4105"/>
    <n v="5099"/>
    <n v="1"/>
    <s v="Y"/>
    <x v="1"/>
    <n v="14"/>
    <x v="0"/>
    <n v="1"/>
    <n v="80"/>
    <x v="0"/>
    <n v="7"/>
    <x v="3"/>
    <x v="1"/>
    <n v="7"/>
    <n v="7"/>
    <x v="0"/>
    <n v="7"/>
  </r>
  <r>
    <n v="32"/>
    <x v="1"/>
    <x v="0"/>
    <n v="1373"/>
    <x v="1"/>
    <x v="12"/>
    <x v="2"/>
    <s v="Life Sciences"/>
    <n v="1"/>
    <n v="1966"/>
    <n v="4"/>
    <x v="1"/>
    <n v="56"/>
    <x v="1"/>
    <n v="2"/>
    <x v="3"/>
    <n v="4"/>
    <x v="0"/>
    <n v="9679"/>
    <n v="10138"/>
    <n v="8"/>
    <s v="Y"/>
    <x v="1"/>
    <n v="24"/>
    <x v="1"/>
    <n v="2"/>
    <n v="80"/>
    <x v="0"/>
    <n v="8"/>
    <x v="4"/>
    <x v="1"/>
    <n v="1"/>
    <n v="0"/>
    <x v="0"/>
    <n v="0"/>
  </r>
  <r>
    <n v="31"/>
    <x v="0"/>
    <x v="1"/>
    <n v="754"/>
    <x v="0"/>
    <x v="9"/>
    <x v="2"/>
    <s v="Marketing"/>
    <n v="1"/>
    <n v="1967"/>
    <n v="1"/>
    <x v="1"/>
    <n v="63"/>
    <x v="0"/>
    <n v="2"/>
    <x v="0"/>
    <n v="4"/>
    <x v="1"/>
    <n v="5617"/>
    <n v="21075"/>
    <n v="1"/>
    <s v="Y"/>
    <x v="0"/>
    <n v="11"/>
    <x v="0"/>
    <n v="3"/>
    <n v="80"/>
    <x v="0"/>
    <n v="10"/>
    <x v="5"/>
    <x v="1"/>
    <n v="10"/>
    <n v="7"/>
    <x v="0"/>
    <n v="8"/>
  </r>
  <r>
    <n v="53"/>
    <x v="0"/>
    <x v="0"/>
    <n v="1168"/>
    <x v="0"/>
    <x v="4"/>
    <x v="2"/>
    <s v="Life Sciences"/>
    <n v="1"/>
    <n v="1968"/>
    <n v="1"/>
    <x v="1"/>
    <n v="66"/>
    <x v="0"/>
    <n v="3"/>
    <x v="0"/>
    <n v="1"/>
    <x v="0"/>
    <n v="10448"/>
    <n v="5843"/>
    <n v="6"/>
    <s v="Y"/>
    <x v="0"/>
    <n v="13"/>
    <x v="0"/>
    <n v="2"/>
    <n v="80"/>
    <x v="0"/>
    <n v="15"/>
    <x v="2"/>
    <x v="2"/>
    <n v="2"/>
    <n v="2"/>
    <x v="3"/>
    <n v="2"/>
  </r>
  <r>
    <n v="54"/>
    <x v="1"/>
    <x v="0"/>
    <n v="155"/>
    <x v="1"/>
    <x v="14"/>
    <x v="0"/>
    <s v="Life Sciences"/>
    <n v="1"/>
    <n v="1969"/>
    <n v="1"/>
    <x v="0"/>
    <n v="67"/>
    <x v="0"/>
    <n v="2"/>
    <x v="1"/>
    <n v="3"/>
    <x v="1"/>
    <n v="2897"/>
    <n v="22474"/>
    <n v="3"/>
    <s v="Y"/>
    <x v="1"/>
    <n v="11"/>
    <x v="0"/>
    <n v="3"/>
    <n v="80"/>
    <x v="3"/>
    <n v="9"/>
    <x v="6"/>
    <x v="2"/>
    <n v="4"/>
    <n v="3"/>
    <x v="3"/>
    <n v="3"/>
  </r>
  <r>
    <n v="33"/>
    <x v="1"/>
    <x v="1"/>
    <n v="1303"/>
    <x v="1"/>
    <x v="15"/>
    <x v="0"/>
    <s v="Life Sciences"/>
    <n v="1"/>
    <n v="1970"/>
    <n v="4"/>
    <x v="1"/>
    <n v="36"/>
    <x v="0"/>
    <n v="2"/>
    <x v="4"/>
    <n v="3"/>
    <x v="2"/>
    <n v="5968"/>
    <n v="18079"/>
    <n v="1"/>
    <s v="Y"/>
    <x v="1"/>
    <n v="20"/>
    <x v="1"/>
    <n v="3"/>
    <n v="80"/>
    <x v="2"/>
    <n v="9"/>
    <x v="2"/>
    <x v="1"/>
    <n v="9"/>
    <n v="7"/>
    <x v="3"/>
    <n v="8"/>
  </r>
  <r>
    <n v="43"/>
    <x v="1"/>
    <x v="0"/>
    <n v="574"/>
    <x v="1"/>
    <x v="13"/>
    <x v="3"/>
    <s v="Life Sciences"/>
    <n v="1"/>
    <n v="1971"/>
    <n v="1"/>
    <x v="1"/>
    <n v="30"/>
    <x v="0"/>
    <n v="3"/>
    <x v="4"/>
    <n v="3"/>
    <x v="1"/>
    <n v="7510"/>
    <n v="16873"/>
    <n v="1"/>
    <s v="Y"/>
    <x v="1"/>
    <n v="17"/>
    <x v="0"/>
    <n v="2"/>
    <n v="80"/>
    <x v="1"/>
    <n v="10"/>
    <x v="4"/>
    <x v="1"/>
    <n v="10"/>
    <n v="9"/>
    <x v="0"/>
    <n v="9"/>
  </r>
  <r>
    <n v="38"/>
    <x v="1"/>
    <x v="1"/>
    <n v="1444"/>
    <x v="2"/>
    <x v="0"/>
    <x v="2"/>
    <s v="Other"/>
    <n v="1"/>
    <n v="1972"/>
    <n v="4"/>
    <x v="1"/>
    <n v="88"/>
    <x v="0"/>
    <n v="1"/>
    <x v="8"/>
    <n v="2"/>
    <x v="1"/>
    <n v="2991"/>
    <n v="5224"/>
    <n v="0"/>
    <s v="Y"/>
    <x v="0"/>
    <n v="11"/>
    <x v="0"/>
    <n v="2"/>
    <n v="80"/>
    <x v="1"/>
    <n v="7"/>
    <x v="2"/>
    <x v="1"/>
    <n v="6"/>
    <n v="2"/>
    <x v="1"/>
    <n v="2"/>
  </r>
  <r>
    <n v="55"/>
    <x v="1"/>
    <x v="0"/>
    <n v="189"/>
    <x v="2"/>
    <x v="9"/>
    <x v="2"/>
    <s v="Human Resources"/>
    <n v="1"/>
    <n v="1973"/>
    <n v="3"/>
    <x v="1"/>
    <n v="71"/>
    <x v="2"/>
    <n v="5"/>
    <x v="5"/>
    <n v="2"/>
    <x v="1"/>
    <n v="19636"/>
    <n v="25811"/>
    <n v="4"/>
    <s v="Y"/>
    <x v="0"/>
    <n v="18"/>
    <x v="0"/>
    <n v="1"/>
    <n v="80"/>
    <x v="1"/>
    <n v="35"/>
    <x v="0"/>
    <x v="1"/>
    <n v="10"/>
    <n v="9"/>
    <x v="1"/>
    <n v="4"/>
  </r>
  <r>
    <n v="31"/>
    <x v="1"/>
    <x v="0"/>
    <n v="1276"/>
    <x v="1"/>
    <x v="2"/>
    <x v="1"/>
    <s v="Medical"/>
    <n v="1"/>
    <n v="1974"/>
    <n v="4"/>
    <x v="0"/>
    <n v="59"/>
    <x v="3"/>
    <n v="1"/>
    <x v="2"/>
    <n v="4"/>
    <x v="2"/>
    <n v="1129"/>
    <n v="17536"/>
    <n v="1"/>
    <s v="Y"/>
    <x v="0"/>
    <n v="11"/>
    <x v="0"/>
    <n v="3"/>
    <n v="80"/>
    <x v="2"/>
    <n v="1"/>
    <x v="5"/>
    <x v="1"/>
    <n v="1"/>
    <n v="0"/>
    <x v="0"/>
    <n v="0"/>
  </r>
  <r>
    <n v="39"/>
    <x v="1"/>
    <x v="0"/>
    <n v="119"/>
    <x v="0"/>
    <x v="8"/>
    <x v="2"/>
    <s v="Marketing"/>
    <n v="1"/>
    <n v="1975"/>
    <n v="2"/>
    <x v="1"/>
    <n v="77"/>
    <x v="0"/>
    <n v="4"/>
    <x v="0"/>
    <n v="1"/>
    <x v="0"/>
    <n v="13341"/>
    <n v="25098"/>
    <n v="0"/>
    <s v="Y"/>
    <x v="1"/>
    <n v="12"/>
    <x v="0"/>
    <n v="1"/>
    <n v="80"/>
    <x v="0"/>
    <n v="21"/>
    <x v="1"/>
    <x v="1"/>
    <n v="20"/>
    <n v="8"/>
    <x v="14"/>
    <n v="10"/>
  </r>
  <r>
    <n v="42"/>
    <x v="1"/>
    <x v="2"/>
    <n v="335"/>
    <x v="1"/>
    <x v="5"/>
    <x v="0"/>
    <s v="Life Sciences"/>
    <n v="1"/>
    <n v="1976"/>
    <n v="4"/>
    <x v="1"/>
    <n v="37"/>
    <x v="1"/>
    <n v="2"/>
    <x v="1"/>
    <n v="3"/>
    <x v="0"/>
    <n v="4332"/>
    <n v="14811"/>
    <n v="1"/>
    <s v="Y"/>
    <x v="1"/>
    <n v="12"/>
    <x v="0"/>
    <n v="4"/>
    <n v="80"/>
    <x v="0"/>
    <n v="20"/>
    <x v="2"/>
    <x v="1"/>
    <n v="20"/>
    <n v="9"/>
    <x v="2"/>
    <n v="7"/>
  </r>
  <r>
    <n v="31"/>
    <x v="1"/>
    <x v="2"/>
    <n v="697"/>
    <x v="1"/>
    <x v="17"/>
    <x v="3"/>
    <s v="Medical"/>
    <n v="1"/>
    <n v="1979"/>
    <n v="3"/>
    <x v="0"/>
    <n v="40"/>
    <x v="0"/>
    <n v="3"/>
    <x v="7"/>
    <n v="3"/>
    <x v="1"/>
    <n v="11031"/>
    <n v="26862"/>
    <n v="4"/>
    <s v="Y"/>
    <x v="1"/>
    <n v="20"/>
    <x v="1"/>
    <n v="3"/>
    <n v="80"/>
    <x v="1"/>
    <n v="13"/>
    <x v="2"/>
    <x v="3"/>
    <n v="11"/>
    <n v="7"/>
    <x v="5"/>
    <n v="8"/>
  </r>
  <r>
    <n v="54"/>
    <x v="1"/>
    <x v="0"/>
    <n v="157"/>
    <x v="1"/>
    <x v="17"/>
    <x v="3"/>
    <s v="Medical"/>
    <n v="1"/>
    <n v="1980"/>
    <n v="3"/>
    <x v="0"/>
    <n v="77"/>
    <x v="0"/>
    <n v="2"/>
    <x v="3"/>
    <n v="1"/>
    <x v="0"/>
    <n v="4440"/>
    <n v="25198"/>
    <n v="6"/>
    <s v="Y"/>
    <x v="0"/>
    <n v="19"/>
    <x v="0"/>
    <n v="4"/>
    <n v="80"/>
    <x v="0"/>
    <n v="9"/>
    <x v="1"/>
    <x v="1"/>
    <n v="5"/>
    <n v="2"/>
    <x v="1"/>
    <n v="4"/>
  </r>
  <r>
    <n v="24"/>
    <x v="1"/>
    <x v="0"/>
    <n v="771"/>
    <x v="1"/>
    <x v="0"/>
    <x v="0"/>
    <s v="Life Sciences"/>
    <n v="1"/>
    <n v="1981"/>
    <n v="2"/>
    <x v="1"/>
    <n v="45"/>
    <x v="1"/>
    <n v="2"/>
    <x v="4"/>
    <n v="3"/>
    <x v="0"/>
    <n v="4617"/>
    <n v="14120"/>
    <n v="1"/>
    <s v="Y"/>
    <x v="1"/>
    <n v="12"/>
    <x v="0"/>
    <n v="2"/>
    <n v="80"/>
    <x v="0"/>
    <n v="4"/>
    <x v="2"/>
    <x v="2"/>
    <n v="4"/>
    <n v="3"/>
    <x v="1"/>
    <n v="2"/>
  </r>
  <r>
    <n v="23"/>
    <x v="1"/>
    <x v="0"/>
    <n v="571"/>
    <x v="1"/>
    <x v="20"/>
    <x v="0"/>
    <s v="Other"/>
    <n v="1"/>
    <n v="1982"/>
    <n v="4"/>
    <x v="1"/>
    <n v="78"/>
    <x v="0"/>
    <n v="1"/>
    <x v="2"/>
    <n v="4"/>
    <x v="0"/>
    <n v="2647"/>
    <n v="13672"/>
    <n v="1"/>
    <s v="Y"/>
    <x v="1"/>
    <n v="13"/>
    <x v="0"/>
    <n v="3"/>
    <n v="80"/>
    <x v="0"/>
    <n v="5"/>
    <x v="6"/>
    <x v="3"/>
    <n v="5"/>
    <n v="2"/>
    <x v="1"/>
    <n v="4"/>
  </r>
  <r>
    <n v="40"/>
    <x v="1"/>
    <x v="1"/>
    <n v="692"/>
    <x v="1"/>
    <x v="13"/>
    <x v="3"/>
    <s v="Technical Degree"/>
    <n v="1"/>
    <n v="1985"/>
    <n v="4"/>
    <x v="0"/>
    <n v="73"/>
    <x v="0"/>
    <n v="2"/>
    <x v="2"/>
    <n v="3"/>
    <x v="1"/>
    <n v="6323"/>
    <n v="26849"/>
    <n v="1"/>
    <s v="Y"/>
    <x v="1"/>
    <n v="11"/>
    <x v="0"/>
    <n v="1"/>
    <n v="80"/>
    <x v="1"/>
    <n v="10"/>
    <x v="2"/>
    <x v="3"/>
    <n v="10"/>
    <n v="9"/>
    <x v="10"/>
    <n v="4"/>
  </r>
  <r>
    <n v="40"/>
    <x v="1"/>
    <x v="0"/>
    <n v="444"/>
    <x v="0"/>
    <x v="2"/>
    <x v="0"/>
    <s v="Marketing"/>
    <n v="1"/>
    <n v="1986"/>
    <n v="2"/>
    <x v="0"/>
    <n v="92"/>
    <x v="0"/>
    <n v="2"/>
    <x v="0"/>
    <n v="2"/>
    <x v="1"/>
    <n v="5677"/>
    <n v="4258"/>
    <n v="3"/>
    <s v="Y"/>
    <x v="1"/>
    <n v="14"/>
    <x v="0"/>
    <n v="3"/>
    <n v="80"/>
    <x v="1"/>
    <n v="15"/>
    <x v="5"/>
    <x v="1"/>
    <n v="11"/>
    <n v="8"/>
    <x v="8"/>
    <n v="10"/>
  </r>
  <r>
    <n v="25"/>
    <x v="1"/>
    <x v="0"/>
    <n v="309"/>
    <x v="2"/>
    <x v="2"/>
    <x v="3"/>
    <s v="Human Resources"/>
    <n v="1"/>
    <n v="1987"/>
    <n v="3"/>
    <x v="0"/>
    <n v="82"/>
    <x v="0"/>
    <n v="1"/>
    <x v="8"/>
    <n v="2"/>
    <x v="1"/>
    <n v="2187"/>
    <n v="19655"/>
    <n v="4"/>
    <s v="Y"/>
    <x v="1"/>
    <n v="14"/>
    <x v="0"/>
    <n v="3"/>
    <n v="80"/>
    <x v="0"/>
    <n v="6"/>
    <x v="1"/>
    <x v="1"/>
    <n v="2"/>
    <n v="0"/>
    <x v="1"/>
    <n v="2"/>
  </r>
  <r>
    <n v="30"/>
    <x v="1"/>
    <x v="0"/>
    <n v="911"/>
    <x v="1"/>
    <x v="0"/>
    <x v="0"/>
    <s v="Medical"/>
    <n v="1"/>
    <n v="1989"/>
    <n v="4"/>
    <x v="1"/>
    <n v="76"/>
    <x v="0"/>
    <n v="1"/>
    <x v="2"/>
    <n v="2"/>
    <x v="1"/>
    <n v="3748"/>
    <n v="4077"/>
    <n v="1"/>
    <s v="Y"/>
    <x v="1"/>
    <n v="13"/>
    <x v="0"/>
    <n v="3"/>
    <n v="80"/>
    <x v="0"/>
    <n v="12"/>
    <x v="6"/>
    <x v="2"/>
    <n v="12"/>
    <n v="8"/>
    <x v="1"/>
    <n v="7"/>
  </r>
  <r>
    <n v="25"/>
    <x v="1"/>
    <x v="0"/>
    <n v="977"/>
    <x v="1"/>
    <x v="2"/>
    <x v="1"/>
    <s v="Other"/>
    <n v="1"/>
    <n v="1992"/>
    <n v="4"/>
    <x v="1"/>
    <n v="57"/>
    <x v="0"/>
    <n v="1"/>
    <x v="2"/>
    <n v="3"/>
    <x v="2"/>
    <n v="3977"/>
    <n v="7298"/>
    <n v="6"/>
    <s v="Y"/>
    <x v="0"/>
    <n v="19"/>
    <x v="0"/>
    <n v="3"/>
    <n v="80"/>
    <x v="1"/>
    <n v="7"/>
    <x v="2"/>
    <x v="2"/>
    <n v="2"/>
    <n v="2"/>
    <x v="0"/>
    <n v="2"/>
  </r>
  <r>
    <n v="47"/>
    <x v="1"/>
    <x v="0"/>
    <n v="1180"/>
    <x v="1"/>
    <x v="19"/>
    <x v="3"/>
    <s v="Medical"/>
    <n v="1"/>
    <n v="1993"/>
    <n v="1"/>
    <x v="1"/>
    <n v="84"/>
    <x v="0"/>
    <n v="3"/>
    <x v="4"/>
    <n v="3"/>
    <x v="0"/>
    <n v="8633"/>
    <n v="13084"/>
    <n v="2"/>
    <s v="Y"/>
    <x v="1"/>
    <n v="23"/>
    <x v="1"/>
    <n v="2"/>
    <n v="80"/>
    <x v="0"/>
    <n v="25"/>
    <x v="1"/>
    <x v="1"/>
    <n v="17"/>
    <n v="14"/>
    <x v="12"/>
    <n v="11"/>
  </r>
  <r>
    <n v="33"/>
    <x v="1"/>
    <x v="2"/>
    <n v="1313"/>
    <x v="1"/>
    <x v="0"/>
    <x v="0"/>
    <s v="Medical"/>
    <n v="1"/>
    <n v="1994"/>
    <n v="2"/>
    <x v="1"/>
    <n v="59"/>
    <x v="1"/>
    <n v="1"/>
    <x v="2"/>
    <n v="3"/>
    <x v="2"/>
    <n v="2008"/>
    <n v="20439"/>
    <n v="1"/>
    <s v="Y"/>
    <x v="1"/>
    <n v="12"/>
    <x v="0"/>
    <n v="3"/>
    <n v="80"/>
    <x v="2"/>
    <n v="1"/>
    <x v="2"/>
    <x v="2"/>
    <n v="1"/>
    <n v="1"/>
    <x v="0"/>
    <n v="0"/>
  </r>
  <r>
    <n v="38"/>
    <x v="1"/>
    <x v="0"/>
    <n v="1321"/>
    <x v="0"/>
    <x v="0"/>
    <x v="2"/>
    <s v="Life Sciences"/>
    <n v="1"/>
    <n v="1995"/>
    <n v="4"/>
    <x v="1"/>
    <n v="86"/>
    <x v="0"/>
    <n v="2"/>
    <x v="0"/>
    <n v="2"/>
    <x v="1"/>
    <n v="4440"/>
    <n v="7636"/>
    <n v="0"/>
    <s v="Y"/>
    <x v="1"/>
    <n v="15"/>
    <x v="0"/>
    <n v="1"/>
    <n v="80"/>
    <x v="3"/>
    <n v="16"/>
    <x v="1"/>
    <x v="1"/>
    <n v="15"/>
    <n v="13"/>
    <x v="8"/>
    <n v="8"/>
  </r>
  <r>
    <n v="31"/>
    <x v="1"/>
    <x v="0"/>
    <n v="1154"/>
    <x v="0"/>
    <x v="2"/>
    <x v="0"/>
    <s v="Life Sciences"/>
    <n v="1"/>
    <n v="1996"/>
    <n v="1"/>
    <x v="1"/>
    <n v="54"/>
    <x v="0"/>
    <n v="1"/>
    <x v="6"/>
    <n v="3"/>
    <x v="1"/>
    <n v="3067"/>
    <n v="6393"/>
    <n v="0"/>
    <s v="Y"/>
    <x v="1"/>
    <n v="19"/>
    <x v="0"/>
    <n v="3"/>
    <n v="80"/>
    <x v="1"/>
    <n v="3"/>
    <x v="4"/>
    <x v="1"/>
    <n v="2"/>
    <n v="2"/>
    <x v="1"/>
    <n v="2"/>
  </r>
  <r>
    <n v="38"/>
    <x v="1"/>
    <x v="1"/>
    <n v="508"/>
    <x v="1"/>
    <x v="16"/>
    <x v="2"/>
    <s v="Life Sciences"/>
    <n v="1"/>
    <n v="1997"/>
    <n v="1"/>
    <x v="1"/>
    <n v="72"/>
    <x v="1"/>
    <n v="2"/>
    <x v="3"/>
    <n v="3"/>
    <x v="1"/>
    <n v="5321"/>
    <n v="14284"/>
    <n v="2"/>
    <s v="Y"/>
    <x v="1"/>
    <n v="11"/>
    <x v="0"/>
    <n v="4"/>
    <n v="80"/>
    <x v="1"/>
    <n v="10"/>
    <x v="4"/>
    <x v="1"/>
    <n v="8"/>
    <n v="3"/>
    <x v="4"/>
    <n v="7"/>
  </r>
  <r>
    <n v="42"/>
    <x v="1"/>
    <x v="0"/>
    <n v="557"/>
    <x v="1"/>
    <x v="21"/>
    <x v="2"/>
    <s v="Life Sciences"/>
    <n v="1"/>
    <n v="1998"/>
    <n v="4"/>
    <x v="1"/>
    <n v="35"/>
    <x v="0"/>
    <n v="2"/>
    <x v="1"/>
    <n v="1"/>
    <x v="2"/>
    <n v="5410"/>
    <n v="11189"/>
    <n v="6"/>
    <s v="Y"/>
    <x v="0"/>
    <n v="17"/>
    <x v="0"/>
    <n v="3"/>
    <n v="80"/>
    <x v="1"/>
    <n v="9"/>
    <x v="1"/>
    <x v="2"/>
    <n v="4"/>
    <n v="3"/>
    <x v="1"/>
    <n v="2"/>
  </r>
  <r>
    <n v="41"/>
    <x v="1"/>
    <x v="0"/>
    <n v="642"/>
    <x v="1"/>
    <x v="0"/>
    <x v="3"/>
    <s v="Life Sciences"/>
    <n v="1"/>
    <n v="1999"/>
    <n v="4"/>
    <x v="1"/>
    <n v="76"/>
    <x v="0"/>
    <n v="1"/>
    <x v="1"/>
    <n v="4"/>
    <x v="1"/>
    <n v="2782"/>
    <n v="21412"/>
    <n v="3"/>
    <s v="Y"/>
    <x v="1"/>
    <n v="22"/>
    <x v="1"/>
    <n v="1"/>
    <n v="80"/>
    <x v="1"/>
    <n v="12"/>
    <x v="1"/>
    <x v="1"/>
    <n v="5"/>
    <n v="3"/>
    <x v="1"/>
    <n v="0"/>
  </r>
  <r>
    <n v="47"/>
    <x v="1"/>
    <x v="2"/>
    <n v="1162"/>
    <x v="1"/>
    <x v="0"/>
    <x v="1"/>
    <s v="Medical"/>
    <n v="1"/>
    <n v="2000"/>
    <n v="3"/>
    <x v="0"/>
    <n v="98"/>
    <x v="0"/>
    <n v="3"/>
    <x v="7"/>
    <n v="2"/>
    <x v="1"/>
    <n v="11957"/>
    <n v="17231"/>
    <n v="0"/>
    <s v="Y"/>
    <x v="1"/>
    <n v="18"/>
    <x v="0"/>
    <n v="1"/>
    <n v="80"/>
    <x v="3"/>
    <n v="14"/>
    <x v="1"/>
    <x v="0"/>
    <n v="13"/>
    <n v="8"/>
    <x v="8"/>
    <n v="12"/>
  </r>
  <r>
    <n v="35"/>
    <x v="1"/>
    <x v="0"/>
    <n v="1490"/>
    <x v="1"/>
    <x v="13"/>
    <x v="2"/>
    <s v="Medical"/>
    <n v="1"/>
    <n v="2003"/>
    <n v="4"/>
    <x v="1"/>
    <n v="43"/>
    <x v="0"/>
    <n v="1"/>
    <x v="2"/>
    <n v="3"/>
    <x v="1"/>
    <n v="2660"/>
    <n v="20232"/>
    <n v="7"/>
    <s v="Y"/>
    <x v="0"/>
    <n v="11"/>
    <x v="0"/>
    <n v="3"/>
    <n v="80"/>
    <x v="1"/>
    <n v="5"/>
    <x v="1"/>
    <x v="1"/>
    <n v="2"/>
    <n v="2"/>
    <x v="3"/>
    <n v="2"/>
  </r>
  <r>
    <n v="22"/>
    <x v="1"/>
    <x v="0"/>
    <n v="581"/>
    <x v="1"/>
    <x v="0"/>
    <x v="0"/>
    <s v="Life Sciences"/>
    <n v="1"/>
    <n v="2007"/>
    <n v="4"/>
    <x v="1"/>
    <n v="63"/>
    <x v="0"/>
    <n v="1"/>
    <x v="1"/>
    <n v="3"/>
    <x v="0"/>
    <n v="3375"/>
    <n v="17624"/>
    <n v="0"/>
    <s v="Y"/>
    <x v="1"/>
    <n v="12"/>
    <x v="0"/>
    <n v="4"/>
    <n v="80"/>
    <x v="0"/>
    <n v="4"/>
    <x v="2"/>
    <x v="3"/>
    <n v="3"/>
    <n v="2"/>
    <x v="1"/>
    <n v="2"/>
  </r>
  <r>
    <n v="35"/>
    <x v="1"/>
    <x v="0"/>
    <n v="1395"/>
    <x v="1"/>
    <x v="14"/>
    <x v="2"/>
    <s v="Medical"/>
    <n v="1"/>
    <n v="2008"/>
    <n v="2"/>
    <x v="1"/>
    <n v="48"/>
    <x v="0"/>
    <n v="2"/>
    <x v="1"/>
    <n v="3"/>
    <x v="0"/>
    <n v="5098"/>
    <n v="18698"/>
    <n v="1"/>
    <s v="Y"/>
    <x v="1"/>
    <n v="19"/>
    <x v="0"/>
    <n v="2"/>
    <n v="80"/>
    <x v="0"/>
    <n v="10"/>
    <x v="3"/>
    <x v="1"/>
    <n v="10"/>
    <n v="7"/>
    <x v="0"/>
    <n v="8"/>
  </r>
  <r>
    <n v="33"/>
    <x v="1"/>
    <x v="0"/>
    <n v="501"/>
    <x v="1"/>
    <x v="8"/>
    <x v="0"/>
    <s v="Medical"/>
    <n v="1"/>
    <n v="2009"/>
    <n v="2"/>
    <x v="0"/>
    <n v="95"/>
    <x v="0"/>
    <n v="2"/>
    <x v="4"/>
    <n v="4"/>
    <x v="1"/>
    <n v="4878"/>
    <n v="21653"/>
    <n v="0"/>
    <s v="Y"/>
    <x v="0"/>
    <n v="13"/>
    <x v="0"/>
    <n v="1"/>
    <n v="80"/>
    <x v="1"/>
    <n v="10"/>
    <x v="6"/>
    <x v="1"/>
    <n v="9"/>
    <n v="7"/>
    <x v="6"/>
    <n v="1"/>
  </r>
  <r>
    <n v="32"/>
    <x v="1"/>
    <x v="0"/>
    <n v="267"/>
    <x v="1"/>
    <x v="22"/>
    <x v="2"/>
    <s v="Life Sciences"/>
    <n v="1"/>
    <n v="2010"/>
    <n v="3"/>
    <x v="0"/>
    <n v="49"/>
    <x v="1"/>
    <n v="1"/>
    <x v="2"/>
    <n v="2"/>
    <x v="0"/>
    <n v="2837"/>
    <n v="15919"/>
    <n v="1"/>
    <s v="Y"/>
    <x v="1"/>
    <n v="13"/>
    <x v="0"/>
    <n v="3"/>
    <n v="80"/>
    <x v="0"/>
    <n v="6"/>
    <x v="1"/>
    <x v="1"/>
    <n v="6"/>
    <n v="2"/>
    <x v="5"/>
    <n v="1"/>
  </r>
  <r>
    <n v="40"/>
    <x v="1"/>
    <x v="0"/>
    <n v="543"/>
    <x v="1"/>
    <x v="0"/>
    <x v="2"/>
    <s v="Life Sciences"/>
    <n v="1"/>
    <n v="2012"/>
    <n v="1"/>
    <x v="1"/>
    <n v="83"/>
    <x v="0"/>
    <n v="1"/>
    <x v="2"/>
    <n v="4"/>
    <x v="1"/>
    <n v="2406"/>
    <n v="4060"/>
    <n v="8"/>
    <s v="Y"/>
    <x v="1"/>
    <n v="19"/>
    <x v="0"/>
    <n v="3"/>
    <n v="80"/>
    <x v="3"/>
    <n v="8"/>
    <x v="1"/>
    <x v="2"/>
    <n v="1"/>
    <n v="0"/>
    <x v="0"/>
    <n v="0"/>
  </r>
  <r>
    <n v="32"/>
    <x v="1"/>
    <x v="0"/>
    <n v="234"/>
    <x v="0"/>
    <x v="0"/>
    <x v="2"/>
    <s v="Medical"/>
    <n v="1"/>
    <n v="2013"/>
    <n v="2"/>
    <x v="1"/>
    <n v="68"/>
    <x v="1"/>
    <n v="1"/>
    <x v="6"/>
    <n v="2"/>
    <x v="1"/>
    <n v="2269"/>
    <n v="18024"/>
    <n v="0"/>
    <s v="Y"/>
    <x v="1"/>
    <n v="14"/>
    <x v="0"/>
    <n v="2"/>
    <n v="80"/>
    <x v="1"/>
    <n v="3"/>
    <x v="2"/>
    <x v="1"/>
    <n v="2"/>
    <n v="2"/>
    <x v="3"/>
    <n v="2"/>
  </r>
  <r>
    <n v="39"/>
    <x v="1"/>
    <x v="0"/>
    <n v="116"/>
    <x v="1"/>
    <x v="4"/>
    <x v="1"/>
    <s v="Life Sciences"/>
    <n v="1"/>
    <n v="2014"/>
    <n v="1"/>
    <x v="1"/>
    <n v="52"/>
    <x v="0"/>
    <n v="2"/>
    <x v="1"/>
    <n v="4"/>
    <x v="0"/>
    <n v="4108"/>
    <n v="5340"/>
    <n v="7"/>
    <s v="Y"/>
    <x v="1"/>
    <n v="13"/>
    <x v="0"/>
    <n v="1"/>
    <n v="80"/>
    <x v="0"/>
    <n v="18"/>
    <x v="2"/>
    <x v="1"/>
    <n v="7"/>
    <n v="7"/>
    <x v="1"/>
    <n v="7"/>
  </r>
  <r>
    <n v="38"/>
    <x v="1"/>
    <x v="0"/>
    <n v="201"/>
    <x v="1"/>
    <x v="17"/>
    <x v="3"/>
    <s v="Medical"/>
    <n v="1"/>
    <n v="2015"/>
    <n v="2"/>
    <x v="0"/>
    <n v="99"/>
    <x v="3"/>
    <n v="3"/>
    <x v="7"/>
    <n v="3"/>
    <x v="1"/>
    <n v="13206"/>
    <n v="3376"/>
    <n v="3"/>
    <s v="Y"/>
    <x v="1"/>
    <n v="12"/>
    <x v="0"/>
    <n v="1"/>
    <n v="80"/>
    <x v="1"/>
    <n v="20"/>
    <x v="1"/>
    <x v="1"/>
    <n v="18"/>
    <n v="16"/>
    <x v="1"/>
    <n v="11"/>
  </r>
  <r>
    <n v="32"/>
    <x v="1"/>
    <x v="0"/>
    <n v="801"/>
    <x v="0"/>
    <x v="0"/>
    <x v="2"/>
    <s v="Marketing"/>
    <n v="1"/>
    <n v="2016"/>
    <n v="3"/>
    <x v="0"/>
    <n v="48"/>
    <x v="0"/>
    <n v="3"/>
    <x v="0"/>
    <n v="4"/>
    <x v="1"/>
    <n v="10422"/>
    <n v="24032"/>
    <n v="1"/>
    <s v="Y"/>
    <x v="1"/>
    <n v="19"/>
    <x v="0"/>
    <n v="3"/>
    <n v="80"/>
    <x v="3"/>
    <n v="14"/>
    <x v="1"/>
    <x v="1"/>
    <n v="14"/>
    <n v="10"/>
    <x v="8"/>
    <n v="7"/>
  </r>
  <r>
    <n v="37"/>
    <x v="1"/>
    <x v="0"/>
    <n v="161"/>
    <x v="1"/>
    <x v="17"/>
    <x v="3"/>
    <s v="Life Sciences"/>
    <n v="1"/>
    <n v="2017"/>
    <n v="3"/>
    <x v="0"/>
    <n v="42"/>
    <x v="2"/>
    <n v="3"/>
    <x v="7"/>
    <n v="4"/>
    <x v="1"/>
    <n v="13744"/>
    <n v="15471"/>
    <n v="1"/>
    <s v="Y"/>
    <x v="0"/>
    <n v="25"/>
    <x v="1"/>
    <n v="1"/>
    <n v="80"/>
    <x v="1"/>
    <n v="16"/>
    <x v="2"/>
    <x v="1"/>
    <n v="16"/>
    <n v="11"/>
    <x v="7"/>
    <n v="8"/>
  </r>
  <r>
    <n v="25"/>
    <x v="1"/>
    <x v="0"/>
    <n v="1382"/>
    <x v="0"/>
    <x v="1"/>
    <x v="0"/>
    <s v="Other"/>
    <n v="1"/>
    <n v="2018"/>
    <n v="1"/>
    <x v="0"/>
    <n v="85"/>
    <x v="0"/>
    <n v="2"/>
    <x v="0"/>
    <n v="3"/>
    <x v="2"/>
    <n v="4907"/>
    <n v="13684"/>
    <n v="0"/>
    <s v="Y"/>
    <x v="0"/>
    <n v="22"/>
    <x v="1"/>
    <n v="2"/>
    <n v="80"/>
    <x v="1"/>
    <n v="6"/>
    <x v="1"/>
    <x v="2"/>
    <n v="5"/>
    <n v="3"/>
    <x v="0"/>
    <n v="4"/>
  </r>
  <r>
    <n v="52"/>
    <x v="1"/>
    <x v="2"/>
    <n v="585"/>
    <x v="0"/>
    <x v="22"/>
    <x v="2"/>
    <s v="Life Sciences"/>
    <n v="1"/>
    <n v="2019"/>
    <n v="1"/>
    <x v="1"/>
    <n v="40"/>
    <x v="0"/>
    <n v="1"/>
    <x v="6"/>
    <n v="4"/>
    <x v="2"/>
    <n v="3482"/>
    <n v="19788"/>
    <n v="2"/>
    <s v="Y"/>
    <x v="1"/>
    <n v="15"/>
    <x v="0"/>
    <n v="2"/>
    <n v="80"/>
    <x v="3"/>
    <n v="16"/>
    <x v="1"/>
    <x v="2"/>
    <n v="9"/>
    <n v="8"/>
    <x v="0"/>
    <n v="0"/>
  </r>
  <r>
    <n v="44"/>
    <x v="1"/>
    <x v="0"/>
    <n v="1037"/>
    <x v="1"/>
    <x v="0"/>
    <x v="3"/>
    <s v="Medical"/>
    <n v="1"/>
    <n v="2020"/>
    <n v="2"/>
    <x v="1"/>
    <n v="42"/>
    <x v="0"/>
    <n v="1"/>
    <x v="1"/>
    <n v="4"/>
    <x v="0"/>
    <n v="2436"/>
    <n v="13422"/>
    <n v="6"/>
    <s v="Y"/>
    <x v="0"/>
    <n v="12"/>
    <x v="0"/>
    <n v="3"/>
    <n v="80"/>
    <x v="0"/>
    <n v="6"/>
    <x v="2"/>
    <x v="1"/>
    <n v="4"/>
    <n v="3"/>
    <x v="1"/>
    <n v="2"/>
  </r>
  <r>
    <n v="21"/>
    <x v="1"/>
    <x v="0"/>
    <n v="501"/>
    <x v="0"/>
    <x v="12"/>
    <x v="1"/>
    <s v="Medical"/>
    <n v="1"/>
    <n v="2021"/>
    <n v="3"/>
    <x v="1"/>
    <n v="58"/>
    <x v="0"/>
    <n v="1"/>
    <x v="6"/>
    <n v="1"/>
    <x v="0"/>
    <n v="2380"/>
    <n v="25479"/>
    <n v="1"/>
    <s v="Y"/>
    <x v="0"/>
    <n v="11"/>
    <x v="0"/>
    <n v="4"/>
    <n v="80"/>
    <x v="0"/>
    <n v="2"/>
    <x v="6"/>
    <x v="1"/>
    <n v="2"/>
    <n v="2"/>
    <x v="1"/>
    <n v="2"/>
  </r>
  <r>
    <n v="39"/>
    <x v="1"/>
    <x v="2"/>
    <n v="105"/>
    <x v="1"/>
    <x v="14"/>
    <x v="3"/>
    <s v="Life Sciences"/>
    <n v="1"/>
    <n v="2022"/>
    <n v="4"/>
    <x v="1"/>
    <n v="87"/>
    <x v="0"/>
    <n v="5"/>
    <x v="5"/>
    <n v="4"/>
    <x v="0"/>
    <n v="19431"/>
    <n v="15302"/>
    <n v="2"/>
    <s v="Y"/>
    <x v="1"/>
    <n v="13"/>
    <x v="0"/>
    <n v="3"/>
    <n v="80"/>
    <x v="0"/>
    <n v="21"/>
    <x v="1"/>
    <x v="2"/>
    <n v="6"/>
    <n v="0"/>
    <x v="1"/>
    <n v="3"/>
  </r>
  <r>
    <n v="23"/>
    <x v="0"/>
    <x v="1"/>
    <n v="638"/>
    <x v="0"/>
    <x v="14"/>
    <x v="3"/>
    <s v="Marketing"/>
    <n v="1"/>
    <n v="2023"/>
    <n v="4"/>
    <x v="1"/>
    <n v="33"/>
    <x v="0"/>
    <n v="1"/>
    <x v="6"/>
    <n v="1"/>
    <x v="1"/>
    <n v="1790"/>
    <n v="26956"/>
    <n v="1"/>
    <s v="Y"/>
    <x v="1"/>
    <n v="19"/>
    <x v="0"/>
    <n v="1"/>
    <n v="80"/>
    <x v="1"/>
    <n v="1"/>
    <x v="1"/>
    <x v="2"/>
    <n v="1"/>
    <n v="0"/>
    <x v="1"/>
    <n v="0"/>
  </r>
  <r>
    <n v="36"/>
    <x v="1"/>
    <x v="0"/>
    <n v="557"/>
    <x v="0"/>
    <x v="3"/>
    <x v="3"/>
    <s v="Medical"/>
    <n v="1"/>
    <n v="2024"/>
    <n v="1"/>
    <x v="0"/>
    <n v="94"/>
    <x v="1"/>
    <n v="3"/>
    <x v="0"/>
    <n v="4"/>
    <x v="1"/>
    <n v="7644"/>
    <n v="12695"/>
    <n v="0"/>
    <s v="Y"/>
    <x v="1"/>
    <n v="19"/>
    <x v="0"/>
    <n v="3"/>
    <n v="80"/>
    <x v="3"/>
    <n v="10"/>
    <x v="2"/>
    <x v="1"/>
    <n v="9"/>
    <n v="7"/>
    <x v="2"/>
    <n v="4"/>
  </r>
  <r>
    <n v="36"/>
    <x v="1"/>
    <x v="1"/>
    <n v="688"/>
    <x v="1"/>
    <x v="18"/>
    <x v="0"/>
    <s v="Life Sciences"/>
    <n v="1"/>
    <n v="2025"/>
    <n v="4"/>
    <x v="0"/>
    <n v="97"/>
    <x v="0"/>
    <n v="2"/>
    <x v="3"/>
    <n v="2"/>
    <x v="2"/>
    <n v="5131"/>
    <n v="9192"/>
    <n v="7"/>
    <s v="Y"/>
    <x v="1"/>
    <n v="13"/>
    <x v="0"/>
    <n v="2"/>
    <n v="80"/>
    <x v="2"/>
    <n v="18"/>
    <x v="1"/>
    <x v="1"/>
    <n v="4"/>
    <n v="2"/>
    <x v="0"/>
    <n v="2"/>
  </r>
  <r>
    <n v="56"/>
    <x v="1"/>
    <x v="2"/>
    <n v="667"/>
    <x v="1"/>
    <x v="0"/>
    <x v="2"/>
    <s v="Life Sciences"/>
    <n v="1"/>
    <n v="2026"/>
    <n v="3"/>
    <x v="1"/>
    <n v="57"/>
    <x v="0"/>
    <n v="2"/>
    <x v="4"/>
    <n v="3"/>
    <x v="2"/>
    <n v="6306"/>
    <n v="26236"/>
    <n v="1"/>
    <s v="Y"/>
    <x v="1"/>
    <n v="21"/>
    <x v="1"/>
    <n v="1"/>
    <n v="80"/>
    <x v="1"/>
    <n v="13"/>
    <x v="2"/>
    <x v="2"/>
    <n v="13"/>
    <n v="12"/>
    <x v="1"/>
    <n v="9"/>
  </r>
  <r>
    <n v="29"/>
    <x v="0"/>
    <x v="0"/>
    <n v="1092"/>
    <x v="1"/>
    <x v="0"/>
    <x v="2"/>
    <s v="Medical"/>
    <n v="1"/>
    <n v="2027"/>
    <n v="1"/>
    <x v="1"/>
    <n v="36"/>
    <x v="0"/>
    <n v="1"/>
    <x v="1"/>
    <n v="4"/>
    <x v="1"/>
    <n v="4787"/>
    <n v="26124"/>
    <n v="9"/>
    <s v="Y"/>
    <x v="0"/>
    <n v="14"/>
    <x v="0"/>
    <n v="2"/>
    <n v="80"/>
    <x v="2"/>
    <n v="4"/>
    <x v="1"/>
    <x v="3"/>
    <n v="2"/>
    <n v="2"/>
    <x v="3"/>
    <n v="2"/>
  </r>
  <r>
    <n v="42"/>
    <x v="1"/>
    <x v="0"/>
    <n v="300"/>
    <x v="1"/>
    <x v="2"/>
    <x v="3"/>
    <s v="Life Sciences"/>
    <n v="1"/>
    <n v="2031"/>
    <n v="1"/>
    <x v="1"/>
    <n v="56"/>
    <x v="0"/>
    <n v="5"/>
    <x v="5"/>
    <n v="3"/>
    <x v="1"/>
    <n v="18880"/>
    <n v="17312"/>
    <n v="5"/>
    <s v="Y"/>
    <x v="1"/>
    <n v="11"/>
    <x v="0"/>
    <n v="1"/>
    <n v="80"/>
    <x v="0"/>
    <n v="24"/>
    <x v="2"/>
    <x v="2"/>
    <n v="22"/>
    <n v="6"/>
    <x v="5"/>
    <n v="14"/>
  </r>
  <r>
    <n v="56"/>
    <x v="0"/>
    <x v="0"/>
    <n v="310"/>
    <x v="1"/>
    <x v="15"/>
    <x v="0"/>
    <s v="Technical Degree"/>
    <n v="1"/>
    <n v="2032"/>
    <n v="4"/>
    <x v="1"/>
    <n v="72"/>
    <x v="0"/>
    <n v="1"/>
    <x v="2"/>
    <n v="3"/>
    <x v="1"/>
    <n v="2339"/>
    <n v="3666"/>
    <n v="8"/>
    <s v="Y"/>
    <x v="1"/>
    <n v="11"/>
    <x v="0"/>
    <n v="4"/>
    <n v="80"/>
    <x v="1"/>
    <n v="14"/>
    <x v="5"/>
    <x v="0"/>
    <n v="10"/>
    <n v="9"/>
    <x v="10"/>
    <n v="8"/>
  </r>
  <r>
    <n v="41"/>
    <x v="1"/>
    <x v="0"/>
    <n v="582"/>
    <x v="1"/>
    <x v="26"/>
    <x v="2"/>
    <s v="Life Sciences"/>
    <n v="1"/>
    <n v="2034"/>
    <n v="1"/>
    <x v="0"/>
    <n v="60"/>
    <x v="1"/>
    <n v="4"/>
    <x v="3"/>
    <n v="2"/>
    <x v="1"/>
    <n v="13570"/>
    <n v="5640"/>
    <n v="0"/>
    <s v="Y"/>
    <x v="1"/>
    <n v="23"/>
    <x v="1"/>
    <n v="3"/>
    <n v="80"/>
    <x v="1"/>
    <n v="21"/>
    <x v="1"/>
    <x v="1"/>
    <n v="20"/>
    <n v="7"/>
    <x v="0"/>
    <n v="10"/>
  </r>
  <r>
    <n v="34"/>
    <x v="1"/>
    <x v="0"/>
    <n v="704"/>
    <x v="0"/>
    <x v="26"/>
    <x v="3"/>
    <s v="Marketing"/>
    <n v="1"/>
    <n v="2035"/>
    <n v="4"/>
    <x v="0"/>
    <n v="95"/>
    <x v="1"/>
    <n v="2"/>
    <x v="0"/>
    <n v="3"/>
    <x v="1"/>
    <n v="6712"/>
    <n v="8978"/>
    <n v="1"/>
    <s v="Y"/>
    <x v="1"/>
    <n v="21"/>
    <x v="1"/>
    <n v="4"/>
    <n v="80"/>
    <x v="3"/>
    <n v="8"/>
    <x v="2"/>
    <x v="1"/>
    <n v="8"/>
    <n v="7"/>
    <x v="1"/>
    <n v="7"/>
  </r>
  <r>
    <n v="36"/>
    <x v="1"/>
    <x v="2"/>
    <n v="301"/>
    <x v="0"/>
    <x v="8"/>
    <x v="2"/>
    <s v="Marketing"/>
    <n v="1"/>
    <n v="2036"/>
    <n v="4"/>
    <x v="1"/>
    <n v="88"/>
    <x v="3"/>
    <n v="2"/>
    <x v="0"/>
    <n v="4"/>
    <x v="2"/>
    <n v="5406"/>
    <n v="10436"/>
    <n v="1"/>
    <s v="Y"/>
    <x v="1"/>
    <n v="24"/>
    <x v="1"/>
    <n v="1"/>
    <n v="80"/>
    <x v="1"/>
    <n v="15"/>
    <x v="5"/>
    <x v="2"/>
    <n v="15"/>
    <n v="12"/>
    <x v="14"/>
    <n v="11"/>
  </r>
  <r>
    <n v="41"/>
    <x v="1"/>
    <x v="0"/>
    <n v="930"/>
    <x v="0"/>
    <x v="3"/>
    <x v="3"/>
    <s v="Life Sciences"/>
    <n v="1"/>
    <n v="2037"/>
    <n v="3"/>
    <x v="1"/>
    <n v="57"/>
    <x v="1"/>
    <n v="2"/>
    <x v="0"/>
    <n v="2"/>
    <x v="2"/>
    <n v="8938"/>
    <n v="12227"/>
    <n v="2"/>
    <s v="Y"/>
    <x v="1"/>
    <n v="11"/>
    <x v="0"/>
    <n v="3"/>
    <n v="80"/>
    <x v="1"/>
    <n v="14"/>
    <x v="3"/>
    <x v="1"/>
    <n v="5"/>
    <n v="4"/>
    <x v="0"/>
    <n v="4"/>
  </r>
  <r>
    <n v="32"/>
    <x v="1"/>
    <x v="0"/>
    <n v="529"/>
    <x v="1"/>
    <x v="2"/>
    <x v="3"/>
    <s v="Technical Degree"/>
    <n v="1"/>
    <n v="2038"/>
    <n v="4"/>
    <x v="1"/>
    <n v="78"/>
    <x v="0"/>
    <n v="1"/>
    <x v="1"/>
    <n v="1"/>
    <x v="0"/>
    <n v="2439"/>
    <n v="11288"/>
    <n v="1"/>
    <s v="Y"/>
    <x v="1"/>
    <n v="14"/>
    <x v="0"/>
    <n v="4"/>
    <n v="80"/>
    <x v="0"/>
    <n v="4"/>
    <x v="5"/>
    <x v="1"/>
    <n v="4"/>
    <n v="2"/>
    <x v="1"/>
    <n v="2"/>
  </r>
  <r>
    <n v="35"/>
    <x v="1"/>
    <x v="0"/>
    <n v="1146"/>
    <x v="2"/>
    <x v="9"/>
    <x v="2"/>
    <s v="Life Sciences"/>
    <n v="1"/>
    <n v="2040"/>
    <n v="3"/>
    <x v="0"/>
    <n v="31"/>
    <x v="0"/>
    <n v="3"/>
    <x v="8"/>
    <n v="4"/>
    <x v="0"/>
    <n v="8837"/>
    <n v="16642"/>
    <n v="1"/>
    <s v="Y"/>
    <x v="0"/>
    <n v="16"/>
    <x v="0"/>
    <n v="3"/>
    <n v="80"/>
    <x v="0"/>
    <n v="9"/>
    <x v="2"/>
    <x v="1"/>
    <n v="9"/>
    <n v="0"/>
    <x v="1"/>
    <n v="7"/>
  </r>
  <r>
    <n v="38"/>
    <x v="1"/>
    <x v="0"/>
    <n v="345"/>
    <x v="0"/>
    <x v="17"/>
    <x v="0"/>
    <s v="Life Sciences"/>
    <n v="1"/>
    <n v="2041"/>
    <n v="1"/>
    <x v="0"/>
    <n v="100"/>
    <x v="0"/>
    <n v="2"/>
    <x v="0"/>
    <n v="4"/>
    <x v="1"/>
    <n v="5343"/>
    <n v="5982"/>
    <n v="1"/>
    <s v="Y"/>
    <x v="1"/>
    <n v="11"/>
    <x v="0"/>
    <n v="3"/>
    <n v="80"/>
    <x v="1"/>
    <n v="10"/>
    <x v="4"/>
    <x v="1"/>
    <n v="10"/>
    <n v="7"/>
    <x v="1"/>
    <n v="9"/>
  </r>
  <r>
    <n v="50"/>
    <x v="0"/>
    <x v="1"/>
    <n v="878"/>
    <x v="0"/>
    <x v="0"/>
    <x v="2"/>
    <s v="Life Sciences"/>
    <n v="1"/>
    <n v="2044"/>
    <n v="2"/>
    <x v="1"/>
    <n v="94"/>
    <x v="0"/>
    <n v="2"/>
    <x v="0"/>
    <n v="3"/>
    <x v="2"/>
    <n v="6728"/>
    <n v="14255"/>
    <n v="7"/>
    <s v="Y"/>
    <x v="1"/>
    <n v="12"/>
    <x v="0"/>
    <n v="4"/>
    <n v="80"/>
    <x v="3"/>
    <n v="12"/>
    <x v="1"/>
    <x v="1"/>
    <n v="6"/>
    <n v="3"/>
    <x v="0"/>
    <n v="1"/>
  </r>
  <r>
    <n v="36"/>
    <x v="1"/>
    <x v="0"/>
    <n v="1120"/>
    <x v="0"/>
    <x v="13"/>
    <x v="2"/>
    <s v="Marketing"/>
    <n v="1"/>
    <n v="2045"/>
    <n v="2"/>
    <x v="0"/>
    <n v="100"/>
    <x v="1"/>
    <n v="2"/>
    <x v="0"/>
    <n v="4"/>
    <x v="1"/>
    <n v="6652"/>
    <n v="14369"/>
    <n v="4"/>
    <s v="Y"/>
    <x v="1"/>
    <n v="13"/>
    <x v="0"/>
    <n v="1"/>
    <n v="80"/>
    <x v="1"/>
    <n v="8"/>
    <x v="2"/>
    <x v="2"/>
    <n v="6"/>
    <n v="3"/>
    <x v="0"/>
    <n v="0"/>
  </r>
  <r>
    <n v="45"/>
    <x v="1"/>
    <x v="0"/>
    <n v="374"/>
    <x v="0"/>
    <x v="25"/>
    <x v="3"/>
    <s v="Life Sciences"/>
    <n v="1"/>
    <n v="2046"/>
    <n v="4"/>
    <x v="0"/>
    <n v="50"/>
    <x v="0"/>
    <n v="2"/>
    <x v="0"/>
    <n v="3"/>
    <x v="0"/>
    <n v="4850"/>
    <n v="23333"/>
    <n v="8"/>
    <s v="Y"/>
    <x v="1"/>
    <n v="15"/>
    <x v="0"/>
    <n v="3"/>
    <n v="80"/>
    <x v="0"/>
    <n v="8"/>
    <x v="1"/>
    <x v="1"/>
    <n v="5"/>
    <n v="3"/>
    <x v="0"/>
    <n v="1"/>
  </r>
  <r>
    <n v="40"/>
    <x v="1"/>
    <x v="0"/>
    <n v="1322"/>
    <x v="1"/>
    <x v="2"/>
    <x v="2"/>
    <s v="Life Sciences"/>
    <n v="1"/>
    <n v="2048"/>
    <n v="3"/>
    <x v="1"/>
    <n v="52"/>
    <x v="1"/>
    <n v="1"/>
    <x v="1"/>
    <n v="3"/>
    <x v="0"/>
    <n v="2809"/>
    <n v="2725"/>
    <n v="2"/>
    <s v="Y"/>
    <x v="1"/>
    <n v="14"/>
    <x v="0"/>
    <n v="4"/>
    <n v="80"/>
    <x v="0"/>
    <n v="8"/>
    <x v="2"/>
    <x v="1"/>
    <n v="2"/>
    <n v="2"/>
    <x v="3"/>
    <n v="2"/>
  </r>
  <r>
    <n v="35"/>
    <x v="1"/>
    <x v="1"/>
    <n v="1199"/>
    <x v="1"/>
    <x v="21"/>
    <x v="2"/>
    <s v="Life Sciences"/>
    <n v="1"/>
    <n v="2049"/>
    <n v="3"/>
    <x v="1"/>
    <n v="80"/>
    <x v="0"/>
    <n v="2"/>
    <x v="4"/>
    <n v="3"/>
    <x v="1"/>
    <n v="5689"/>
    <n v="24594"/>
    <n v="1"/>
    <s v="Y"/>
    <x v="0"/>
    <n v="14"/>
    <x v="0"/>
    <n v="4"/>
    <n v="80"/>
    <x v="3"/>
    <n v="10"/>
    <x v="2"/>
    <x v="3"/>
    <n v="10"/>
    <n v="2"/>
    <x v="0"/>
    <n v="2"/>
  </r>
  <r>
    <n v="40"/>
    <x v="1"/>
    <x v="0"/>
    <n v="1194"/>
    <x v="1"/>
    <x v="2"/>
    <x v="2"/>
    <s v="Medical"/>
    <n v="1"/>
    <n v="2051"/>
    <n v="3"/>
    <x v="0"/>
    <n v="98"/>
    <x v="0"/>
    <n v="1"/>
    <x v="1"/>
    <n v="3"/>
    <x v="1"/>
    <n v="2001"/>
    <n v="12549"/>
    <n v="2"/>
    <s v="Y"/>
    <x v="1"/>
    <n v="14"/>
    <x v="0"/>
    <n v="2"/>
    <n v="80"/>
    <x v="2"/>
    <n v="20"/>
    <x v="2"/>
    <x v="1"/>
    <n v="5"/>
    <n v="3"/>
    <x v="0"/>
    <n v="2"/>
  </r>
  <r>
    <n v="35"/>
    <x v="1"/>
    <x v="0"/>
    <n v="287"/>
    <x v="1"/>
    <x v="0"/>
    <x v="2"/>
    <s v="Life Sciences"/>
    <n v="1"/>
    <n v="2052"/>
    <n v="3"/>
    <x v="0"/>
    <n v="62"/>
    <x v="3"/>
    <n v="1"/>
    <x v="1"/>
    <n v="4"/>
    <x v="1"/>
    <n v="2977"/>
    <n v="8952"/>
    <n v="1"/>
    <s v="Y"/>
    <x v="1"/>
    <n v="12"/>
    <x v="0"/>
    <n v="4"/>
    <n v="80"/>
    <x v="1"/>
    <n v="4"/>
    <x v="3"/>
    <x v="1"/>
    <n v="4"/>
    <n v="3"/>
    <x v="1"/>
    <n v="1"/>
  </r>
  <r>
    <n v="29"/>
    <x v="1"/>
    <x v="0"/>
    <n v="1378"/>
    <x v="1"/>
    <x v="28"/>
    <x v="0"/>
    <s v="Other"/>
    <n v="1"/>
    <n v="2053"/>
    <n v="4"/>
    <x v="1"/>
    <n v="46"/>
    <x v="1"/>
    <n v="2"/>
    <x v="2"/>
    <n v="2"/>
    <x v="1"/>
    <n v="4025"/>
    <n v="23679"/>
    <n v="4"/>
    <s v="Y"/>
    <x v="0"/>
    <n v="13"/>
    <x v="0"/>
    <n v="1"/>
    <n v="80"/>
    <x v="1"/>
    <n v="10"/>
    <x v="2"/>
    <x v="1"/>
    <n v="4"/>
    <n v="3"/>
    <x v="0"/>
    <n v="3"/>
  </r>
  <r>
    <n v="29"/>
    <x v="1"/>
    <x v="0"/>
    <n v="468"/>
    <x v="1"/>
    <x v="26"/>
    <x v="2"/>
    <s v="Medical"/>
    <n v="1"/>
    <n v="2054"/>
    <n v="4"/>
    <x v="0"/>
    <n v="73"/>
    <x v="1"/>
    <n v="1"/>
    <x v="1"/>
    <n v="1"/>
    <x v="0"/>
    <n v="3785"/>
    <n v="8489"/>
    <n v="1"/>
    <s v="Y"/>
    <x v="1"/>
    <n v="14"/>
    <x v="0"/>
    <n v="2"/>
    <n v="80"/>
    <x v="0"/>
    <n v="5"/>
    <x v="1"/>
    <x v="0"/>
    <n v="5"/>
    <n v="4"/>
    <x v="0"/>
    <n v="4"/>
  </r>
  <r>
    <n v="50"/>
    <x v="0"/>
    <x v="0"/>
    <n v="410"/>
    <x v="0"/>
    <x v="26"/>
    <x v="3"/>
    <s v="Marketing"/>
    <n v="1"/>
    <n v="2055"/>
    <n v="4"/>
    <x v="1"/>
    <n v="39"/>
    <x v="1"/>
    <n v="3"/>
    <x v="0"/>
    <n v="1"/>
    <x v="2"/>
    <n v="10854"/>
    <n v="16586"/>
    <n v="4"/>
    <s v="Y"/>
    <x v="0"/>
    <n v="13"/>
    <x v="0"/>
    <n v="2"/>
    <n v="80"/>
    <x v="1"/>
    <n v="20"/>
    <x v="1"/>
    <x v="1"/>
    <n v="3"/>
    <n v="2"/>
    <x v="3"/>
    <n v="0"/>
  </r>
  <r>
    <n v="39"/>
    <x v="1"/>
    <x v="0"/>
    <n v="722"/>
    <x v="0"/>
    <x v="4"/>
    <x v="1"/>
    <s v="Marketing"/>
    <n v="1"/>
    <n v="2056"/>
    <n v="2"/>
    <x v="0"/>
    <n v="60"/>
    <x v="1"/>
    <n v="4"/>
    <x v="0"/>
    <n v="4"/>
    <x v="1"/>
    <n v="12031"/>
    <n v="8828"/>
    <n v="0"/>
    <s v="Y"/>
    <x v="1"/>
    <n v="11"/>
    <x v="0"/>
    <n v="1"/>
    <n v="80"/>
    <x v="1"/>
    <n v="21"/>
    <x v="2"/>
    <x v="2"/>
    <n v="20"/>
    <n v="9"/>
    <x v="10"/>
    <n v="6"/>
  </r>
  <r>
    <n v="31"/>
    <x v="1"/>
    <x v="2"/>
    <n v="325"/>
    <x v="1"/>
    <x v="12"/>
    <x v="3"/>
    <s v="Medical"/>
    <n v="1"/>
    <n v="2057"/>
    <n v="2"/>
    <x v="1"/>
    <n v="74"/>
    <x v="0"/>
    <n v="2"/>
    <x v="3"/>
    <n v="1"/>
    <x v="0"/>
    <n v="9936"/>
    <n v="3787"/>
    <n v="0"/>
    <s v="Y"/>
    <x v="1"/>
    <n v="19"/>
    <x v="0"/>
    <n v="2"/>
    <n v="80"/>
    <x v="0"/>
    <n v="10"/>
    <x v="2"/>
    <x v="1"/>
    <n v="9"/>
    <n v="4"/>
    <x v="1"/>
    <n v="7"/>
  </r>
  <r>
    <n v="26"/>
    <x v="1"/>
    <x v="0"/>
    <n v="1167"/>
    <x v="0"/>
    <x v="12"/>
    <x v="3"/>
    <s v="Other"/>
    <n v="1"/>
    <n v="2060"/>
    <n v="4"/>
    <x v="0"/>
    <n v="30"/>
    <x v="1"/>
    <n v="1"/>
    <x v="6"/>
    <n v="3"/>
    <x v="0"/>
    <n v="2966"/>
    <n v="21378"/>
    <n v="0"/>
    <s v="Y"/>
    <x v="1"/>
    <n v="18"/>
    <x v="0"/>
    <n v="4"/>
    <n v="80"/>
    <x v="0"/>
    <n v="5"/>
    <x v="2"/>
    <x v="1"/>
    <n v="4"/>
    <n v="2"/>
    <x v="0"/>
    <n v="0"/>
  </r>
  <r>
    <n v="36"/>
    <x v="1"/>
    <x v="1"/>
    <n v="884"/>
    <x v="1"/>
    <x v="5"/>
    <x v="0"/>
    <s v="Medical"/>
    <n v="1"/>
    <n v="2061"/>
    <n v="3"/>
    <x v="1"/>
    <n v="41"/>
    <x v="2"/>
    <n v="2"/>
    <x v="2"/>
    <n v="4"/>
    <x v="1"/>
    <n v="2571"/>
    <n v="12290"/>
    <n v="4"/>
    <s v="Y"/>
    <x v="1"/>
    <n v="17"/>
    <x v="0"/>
    <n v="3"/>
    <n v="80"/>
    <x v="1"/>
    <n v="17"/>
    <x v="1"/>
    <x v="1"/>
    <n v="5"/>
    <n v="2"/>
    <x v="0"/>
    <n v="3"/>
  </r>
  <r>
    <n v="39"/>
    <x v="1"/>
    <x v="0"/>
    <n v="613"/>
    <x v="1"/>
    <x v="16"/>
    <x v="1"/>
    <s v="Medical"/>
    <n v="1"/>
    <n v="2062"/>
    <n v="4"/>
    <x v="1"/>
    <n v="42"/>
    <x v="1"/>
    <n v="3"/>
    <x v="4"/>
    <n v="1"/>
    <x v="1"/>
    <n v="9991"/>
    <n v="21457"/>
    <n v="4"/>
    <s v="Y"/>
    <x v="1"/>
    <n v="15"/>
    <x v="0"/>
    <n v="1"/>
    <n v="80"/>
    <x v="1"/>
    <n v="9"/>
    <x v="3"/>
    <x v="1"/>
    <n v="7"/>
    <n v="7"/>
    <x v="1"/>
    <n v="7"/>
  </r>
  <r>
    <n v="27"/>
    <x v="1"/>
    <x v="0"/>
    <n v="155"/>
    <x v="1"/>
    <x v="18"/>
    <x v="3"/>
    <s v="Life Sciences"/>
    <n v="1"/>
    <n v="2064"/>
    <n v="2"/>
    <x v="1"/>
    <n v="87"/>
    <x v="2"/>
    <n v="2"/>
    <x v="3"/>
    <n v="2"/>
    <x v="1"/>
    <n v="6142"/>
    <n v="5174"/>
    <n v="1"/>
    <s v="Y"/>
    <x v="0"/>
    <n v="20"/>
    <x v="1"/>
    <n v="2"/>
    <n v="80"/>
    <x v="1"/>
    <n v="6"/>
    <x v="0"/>
    <x v="1"/>
    <n v="6"/>
    <n v="2"/>
    <x v="0"/>
    <n v="3"/>
  </r>
  <r>
    <n v="49"/>
    <x v="1"/>
    <x v="1"/>
    <n v="1023"/>
    <x v="0"/>
    <x v="2"/>
    <x v="3"/>
    <s v="Medical"/>
    <n v="1"/>
    <n v="2065"/>
    <n v="4"/>
    <x v="1"/>
    <n v="63"/>
    <x v="1"/>
    <n v="2"/>
    <x v="0"/>
    <n v="2"/>
    <x v="1"/>
    <n v="5390"/>
    <n v="13243"/>
    <n v="2"/>
    <s v="Y"/>
    <x v="1"/>
    <n v="14"/>
    <x v="0"/>
    <n v="4"/>
    <n v="80"/>
    <x v="0"/>
    <n v="17"/>
    <x v="1"/>
    <x v="2"/>
    <n v="9"/>
    <n v="6"/>
    <x v="0"/>
    <n v="8"/>
  </r>
  <r>
    <n v="34"/>
    <x v="1"/>
    <x v="0"/>
    <n v="628"/>
    <x v="1"/>
    <x v="1"/>
    <x v="3"/>
    <s v="Medical"/>
    <n v="1"/>
    <n v="2068"/>
    <n v="2"/>
    <x v="1"/>
    <n v="82"/>
    <x v="2"/>
    <n v="2"/>
    <x v="2"/>
    <n v="3"/>
    <x v="1"/>
    <n v="4404"/>
    <n v="10228"/>
    <n v="2"/>
    <s v="Y"/>
    <x v="1"/>
    <n v="12"/>
    <x v="0"/>
    <n v="1"/>
    <n v="80"/>
    <x v="0"/>
    <n v="6"/>
    <x v="1"/>
    <x v="3"/>
    <n v="4"/>
    <n v="3"/>
    <x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E25D2E-55E1-4317-B0C1-77AFFDAFAB65}" name="PivotTable18"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ver Time Status">
  <location ref="A89:B92" firstHeaderRow="1" firstDataRow="1" firstDataCol="1"/>
  <pivotFields count="35">
    <pivotField showAll="0"/>
    <pivotField showAll="0"/>
    <pivotField showAll="0"/>
    <pivotField showAll="0"/>
    <pivotField showAll="0">
      <items count="4">
        <item x="2"/>
        <item x="1"/>
        <item x="0"/>
        <item t="default"/>
      </items>
    </pivotField>
    <pivotField showAll="0"/>
    <pivotField showAll="0">
      <items count="6">
        <item x="1"/>
        <item x="0"/>
        <item x="3"/>
        <item x="2"/>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axis="axisRow"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22"/>
  </rowFields>
  <rowItems count="3">
    <i>
      <x/>
    </i>
    <i>
      <x v="1"/>
    </i>
    <i t="grand">
      <x/>
    </i>
  </rowItems>
  <colItems count="1">
    <i/>
  </colItems>
  <dataFields count="1">
    <dataField name="Overtime Emp Count" fld="2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BD67AE7-3A2F-40A3-BAE7-6CBECC3DBE0C}" name="PivotTable17"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ating">
  <location ref="A81:B84" firstHeaderRow="1" firstDataRow="1" firstDataCol="1"/>
  <pivotFields count="35">
    <pivotField showAll="0"/>
    <pivotField showAll="0"/>
    <pivotField showAll="0"/>
    <pivotField showAll="0"/>
    <pivotField showAll="0">
      <items count="4">
        <item x="2"/>
        <item x="1"/>
        <item x="0"/>
        <item t="default"/>
      </items>
    </pivotField>
    <pivotField showAll="0"/>
    <pivotField showAll="0">
      <items count="6">
        <item x="1"/>
        <item x="0"/>
        <item x="3"/>
        <item x="2"/>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items count="3">
        <item x="1"/>
        <item x="0"/>
        <item t="default"/>
      </items>
    </pivotField>
    <pivotField showAll="0"/>
    <pivotField axis="axisRow" dataField="1"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s>
  <rowFields count="1">
    <field x="24"/>
  </rowFields>
  <rowItems count="3">
    <i>
      <x/>
    </i>
    <i>
      <x v="1"/>
    </i>
    <i t="grand">
      <x/>
    </i>
  </rowItems>
  <colItems count="1">
    <i/>
  </colItems>
  <dataFields count="1">
    <dataField name="Total Permormance Rating" fld="2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BF737D-D9CE-418E-AA32-9AF9A095F65B}" name="PivotTable16"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Distance" colHeaderCaption="Attrition Status">
  <location ref="A46:D77" firstHeaderRow="1" firstDataRow="2" firstDataCol="1"/>
  <pivotFields count="35">
    <pivotField showAll="0"/>
    <pivotField axis="axisCol" dataField="1" showAll="0">
      <items count="3">
        <item x="1"/>
        <item x="0"/>
        <item t="default"/>
      </items>
    </pivotField>
    <pivotField showAll="0"/>
    <pivotField showAll="0"/>
    <pivotField showAll="0">
      <items count="4">
        <item x="2"/>
        <item x="1"/>
        <item x="0"/>
        <item t="default"/>
      </items>
    </pivotField>
    <pivotField axis="axisRow" showAll="0">
      <items count="30">
        <item x="0"/>
        <item x="2"/>
        <item x="3"/>
        <item x="18"/>
        <item x="12"/>
        <item x="16"/>
        <item x="15"/>
        <item x="1"/>
        <item x="14"/>
        <item x="17"/>
        <item x="13"/>
        <item x="20"/>
        <item x="28"/>
        <item x="24"/>
        <item x="8"/>
        <item x="7"/>
        <item x="27"/>
        <item x="21"/>
        <item x="10"/>
        <item x="25"/>
        <item x="11"/>
        <item x="23"/>
        <item x="5"/>
        <item x="4"/>
        <item x="19"/>
        <item x="9"/>
        <item x="6"/>
        <item x="26"/>
        <item x="22"/>
        <item t="default"/>
      </items>
    </pivotField>
    <pivotField showAll="0">
      <items count="6">
        <item x="1"/>
        <item x="0"/>
        <item x="3"/>
        <item x="2"/>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3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7DE6BC3-4591-47B9-A1BD-7E9E72F56559}" name="PivotTable3"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ender" colHeaderCaption="Atrition Status">
  <location ref="A34:D38" firstHeaderRow="1" firstDataRow="2" firstDataCol="1"/>
  <pivotFields count="35">
    <pivotField showAll="0"/>
    <pivotField axis="axisCol" dataField="1" showAll="0">
      <items count="3">
        <item x="1"/>
        <item x="0"/>
        <item t="default"/>
      </items>
    </pivotField>
    <pivotField showAll="0"/>
    <pivotField showAll="0"/>
    <pivotField showAll="0">
      <items count="4">
        <item x="2"/>
        <item x="1"/>
        <item x="0"/>
        <item t="default"/>
      </items>
    </pivotField>
    <pivotField showAll="0"/>
    <pivotField showAll="0">
      <items count="6">
        <item x="1"/>
        <item x="0"/>
        <item x="3"/>
        <item x="2"/>
        <item x="4"/>
        <item t="default"/>
      </items>
    </pivotField>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3">
    <i>
      <x/>
    </i>
    <i>
      <x v="1"/>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2C658E-8533-4C25-B608-751176D9DBCE}" name="PivotTable2"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Department">
  <location ref="A20:B30" firstHeaderRow="1" firstDataRow="1" firstDataCol="1"/>
  <pivotFields count="35">
    <pivotField showAll="0"/>
    <pivotField showAll="0"/>
    <pivotField showAll="0"/>
    <pivotField showAll="0"/>
    <pivotField showAll="0">
      <items count="4">
        <item x="2"/>
        <item x="1"/>
        <item x="0"/>
        <item t="default"/>
      </items>
    </pivotField>
    <pivotField showAll="0"/>
    <pivotField showAll="0">
      <items count="6">
        <item x="1"/>
        <item x="0"/>
        <item x="3"/>
        <item x="2"/>
        <item x="4"/>
        <item t="default"/>
      </items>
    </pivotField>
    <pivotField showAll="0"/>
    <pivotField showAll="0"/>
    <pivotField showAll="0"/>
    <pivotField showAll="0"/>
    <pivotField showAll="0">
      <items count="3">
        <item x="0"/>
        <item x="1"/>
        <item t="default"/>
      </items>
    </pivotField>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dataField="1" showAll="0"/>
    <pivotField showAll="0">
      <items count="4">
        <item x="2"/>
        <item x="1"/>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0">
    <i>
      <x/>
    </i>
    <i>
      <x v="6"/>
    </i>
    <i>
      <x v="7"/>
    </i>
    <i>
      <x v="8"/>
    </i>
    <i>
      <x v="3"/>
    </i>
    <i>
      <x v="5"/>
    </i>
    <i>
      <x v="2"/>
    </i>
    <i>
      <x v="4"/>
    </i>
    <i>
      <x v="1"/>
    </i>
    <i t="grand">
      <x/>
    </i>
  </rowItems>
  <colItems count="1">
    <i/>
  </colItems>
  <dataFields count="1">
    <dataField name="Job Satisfaction Average" fld="16" subtotal="average" baseField="0" baseItem="0" numFmtId="2"/>
  </dataFields>
  <formats count="1">
    <format dxfId="18">
      <pivotArea outline="0" collapsedLevelsAreSubtotals="1" fieldPosition="0"/>
    </format>
  </format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28A2031-3D8F-43A7-AA88-9288E6C35D41}" name="PivotTable1"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Department" colHeaderCaption="Attrition Status">
  <location ref="A7:D12" firstHeaderRow="1" firstDataRow="2" firstDataCol="1"/>
  <pivotFields count="35">
    <pivotField showAll="0"/>
    <pivotField axis="axisCol" dataField="1" showAll="0">
      <items count="3">
        <item x="1"/>
        <item x="0"/>
        <item t="default"/>
      </items>
    </pivotField>
    <pivotField showAll="0"/>
    <pivotField showAll="0"/>
    <pivotField axis="axisRow" showAll="0">
      <items count="4">
        <item x="2"/>
        <item x="1"/>
        <item x="0"/>
        <item t="default"/>
      </items>
    </pivotField>
    <pivotField showAll="0"/>
    <pivotField showAll="0">
      <items count="6">
        <item x="1"/>
        <item x="0"/>
        <item x="3"/>
        <item x="2"/>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5A63DAE-E2FC-4159-83FF-2E7620FBC33F}" name="PivotTable25"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Last Promotion Years" colHeaderCaption="Rating">
  <location ref="A77:D95" firstHeaderRow="1" firstDataRow="2" firstDataCol="1"/>
  <pivotFields count="35">
    <pivotField showAll="0"/>
    <pivotField showAll="0"/>
    <pivotField showAll="0"/>
    <pivotField showAll="0"/>
    <pivotField showAll="0">
      <items count="4">
        <item x="2"/>
        <item x="1"/>
        <item x="0"/>
        <item t="default"/>
      </items>
    </pivotField>
    <pivotField showAll="0"/>
    <pivotField showAll="0">
      <items count="6">
        <item x="1"/>
        <item x="0"/>
        <item x="3"/>
        <item x="2"/>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items count="3">
        <item x="1"/>
        <item x="0"/>
        <item t="default"/>
      </items>
    </pivotField>
    <pivotField showAll="0"/>
    <pivotField axis="axisCol" dataField="1" showAll="0">
      <items count="3">
        <item x="0"/>
        <item x="1"/>
        <item t="default"/>
      </items>
    </pivotField>
    <pivotField showAll="0"/>
    <pivotField showAll="0"/>
    <pivotField showAll="0"/>
    <pivotField showAll="0"/>
    <pivotField showAll="0"/>
    <pivotField showAll="0"/>
    <pivotField showAll="0"/>
    <pivotField showAll="0"/>
    <pivotField axis="axisRow" showAll="0">
      <items count="17">
        <item x="0"/>
        <item x="1"/>
        <item x="3"/>
        <item x="2"/>
        <item x="5"/>
        <item x="8"/>
        <item x="7"/>
        <item x="4"/>
        <item x="6"/>
        <item x="10"/>
        <item x="13"/>
        <item x="14"/>
        <item x="12"/>
        <item x="11"/>
        <item x="15"/>
        <item x="9"/>
        <item t="default"/>
      </items>
    </pivotField>
    <pivotField showAll="0"/>
  </pivotFields>
  <rowFields count="1">
    <field x="33"/>
  </rowFields>
  <rowItems count="17">
    <i>
      <x/>
    </i>
    <i>
      <x v="1"/>
    </i>
    <i>
      <x v="2"/>
    </i>
    <i>
      <x v="3"/>
    </i>
    <i>
      <x v="4"/>
    </i>
    <i>
      <x v="5"/>
    </i>
    <i>
      <x v="6"/>
    </i>
    <i>
      <x v="7"/>
    </i>
    <i>
      <x v="8"/>
    </i>
    <i>
      <x v="9"/>
    </i>
    <i>
      <x v="10"/>
    </i>
    <i>
      <x v="11"/>
    </i>
    <i>
      <x v="12"/>
    </i>
    <i>
      <x v="13"/>
    </i>
    <i>
      <x v="14"/>
    </i>
    <i>
      <x v="15"/>
    </i>
    <i t="grand">
      <x/>
    </i>
  </rowItems>
  <colFields count="1">
    <field x="24"/>
  </colFields>
  <colItems count="3">
    <i>
      <x/>
    </i>
    <i>
      <x v="1"/>
    </i>
    <i t="grand">
      <x/>
    </i>
  </colItems>
  <dataFields count="1">
    <dataField name="Total Performance Rating" fld="2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BFA14EF-F705-4E84-A2F5-D2BADEA1083A}" name="PivotTable24"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Business Travel">
  <location ref="A69:B73" firstHeaderRow="1" firstDataRow="1" firstDataCol="1"/>
  <pivotFields count="35">
    <pivotField showAll="0"/>
    <pivotField showAll="0"/>
    <pivotField axis="axisRow" showAll="0">
      <items count="4">
        <item x="2"/>
        <item x="1"/>
        <item x="0"/>
        <item t="default"/>
      </items>
    </pivotField>
    <pivotField showAll="0"/>
    <pivotField showAll="0">
      <items count="4">
        <item x="2"/>
        <item x="1"/>
        <item x="0"/>
        <item t="default"/>
      </items>
    </pivotField>
    <pivotField showAll="0"/>
    <pivotField showAll="0">
      <items count="6">
        <item x="1"/>
        <item x="0"/>
        <item x="3"/>
        <item x="2"/>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pivotField dataField="1" showAll="0"/>
    <pivotField showAll="0">
      <items count="4">
        <item x="2"/>
        <item x="1"/>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4">
    <i>
      <x/>
    </i>
    <i>
      <x v="1"/>
    </i>
    <i>
      <x v="2"/>
    </i>
    <i t="grand">
      <x/>
    </i>
  </rowItems>
  <colItems count="1">
    <i/>
  </colItems>
  <dataFields count="1">
    <dataField name="Average of Job Satisfaction" fld="16" subtotal="average" baseField="0" baseItem="0" numFmtId="2"/>
  </dataFields>
  <formats count="1">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3927454-B5AB-492C-AD01-F5DBC67D021B}" name="PivotTable23"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ock Option Level" colHeaderCaption="Attrition Status">
  <location ref="A55:D61" firstHeaderRow="1" firstDataRow="2" firstDataCol="1"/>
  <pivotFields count="35">
    <pivotField showAll="0"/>
    <pivotField axis="axisCol" dataField="1" showAll="0">
      <items count="3">
        <item x="1"/>
        <item x="0"/>
        <item t="default"/>
      </items>
    </pivotField>
    <pivotField showAll="0"/>
    <pivotField showAll="0"/>
    <pivotField showAll="0">
      <items count="4">
        <item x="2"/>
        <item x="1"/>
        <item x="0"/>
        <item t="default"/>
      </items>
    </pivotField>
    <pivotField showAll="0"/>
    <pivotField showAll="0">
      <items count="6">
        <item x="1"/>
        <item x="0"/>
        <item x="3"/>
        <item x="2"/>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axis="axisRow" showAll="0">
      <items count="5">
        <item x="0"/>
        <item x="1"/>
        <item x="3"/>
        <item x="2"/>
        <item t="default"/>
      </items>
    </pivotField>
    <pivotField showAll="0"/>
    <pivotField showAll="0"/>
    <pivotField showAll="0"/>
    <pivotField showAll="0"/>
    <pivotField showAll="0"/>
    <pivotField showAll="0"/>
    <pivotField showAll="0"/>
  </pivotFields>
  <rowFields count="1">
    <field x="27"/>
  </rowFields>
  <rowItems count="5">
    <i>
      <x/>
    </i>
    <i>
      <x v="1"/>
    </i>
    <i>
      <x v="2"/>
    </i>
    <i>
      <x v="3"/>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C0E50EA-29E4-4E73-A50E-FE1E594D4A34}" name="PivotTable22"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Worklife Balance" colHeaderCaption="Performance Rating">
  <location ref="A45:D51" firstHeaderRow="1" firstDataRow="2" firstDataCol="1"/>
  <pivotFields count="35">
    <pivotField showAll="0"/>
    <pivotField showAll="0"/>
    <pivotField showAll="0"/>
    <pivotField showAll="0"/>
    <pivotField showAll="0">
      <items count="4">
        <item x="2"/>
        <item x="1"/>
        <item x="0"/>
        <item t="default"/>
      </items>
    </pivotField>
    <pivotField showAll="0"/>
    <pivotField showAll="0">
      <items count="6">
        <item x="1"/>
        <item x="0"/>
        <item x="3"/>
        <item x="2"/>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items count="3">
        <item x="1"/>
        <item x="0"/>
        <item t="default"/>
      </items>
    </pivotField>
    <pivotField showAll="0"/>
    <pivotField axis="axisCol" dataField="1" showAll="0">
      <items count="3">
        <item x="0"/>
        <item x="1"/>
        <item t="default"/>
      </items>
    </pivotField>
    <pivotField showAll="0"/>
    <pivotField showAll="0"/>
    <pivotField showAll="0"/>
    <pivotField showAll="0"/>
    <pivotField showAll="0"/>
    <pivotField axis="axisRow" showAll="0">
      <items count="5">
        <item x="0"/>
        <item x="2"/>
        <item x="1"/>
        <item x="3"/>
        <item t="default"/>
      </items>
    </pivotField>
    <pivotField showAll="0"/>
    <pivotField showAll="0"/>
    <pivotField showAll="0"/>
    <pivotField showAll="0"/>
  </pivotFields>
  <rowFields count="1">
    <field x="30"/>
  </rowFields>
  <rowItems count="5">
    <i>
      <x/>
    </i>
    <i>
      <x v="1"/>
    </i>
    <i>
      <x v="2"/>
    </i>
    <i>
      <x v="3"/>
    </i>
    <i t="grand">
      <x/>
    </i>
  </rowItems>
  <colFields count="1">
    <field x="24"/>
  </colFields>
  <colItems count="3">
    <i>
      <x/>
    </i>
    <i>
      <x v="1"/>
    </i>
    <i t="grand">
      <x/>
    </i>
  </colItems>
  <dataFields count="1">
    <dataField name="Total Performance Status" fld="2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EB2EF3-36ED-42C3-8EA4-09F0522918D3}" name="PivotTable21"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raning Times" colHeaderCaption="Attrition Status">
  <location ref="A32:D41" firstHeaderRow="1" firstDataRow="2" firstDataCol="1"/>
  <pivotFields count="35">
    <pivotField showAll="0"/>
    <pivotField axis="axisCol" dataField="1" showAll="0">
      <items count="3">
        <item x="1"/>
        <item x="0"/>
        <item t="default"/>
      </items>
    </pivotField>
    <pivotField showAll="0"/>
    <pivotField showAll="0"/>
    <pivotField showAll="0">
      <items count="4">
        <item x="2"/>
        <item x="1"/>
        <item x="0"/>
        <item t="default"/>
      </items>
    </pivotField>
    <pivotField showAll="0"/>
    <pivotField showAll="0">
      <items count="6">
        <item x="1"/>
        <item x="0"/>
        <item x="3"/>
        <item x="2"/>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axis="axisRow" showAll="0">
      <items count="8">
        <item x="0"/>
        <item x="4"/>
        <item x="2"/>
        <item x="1"/>
        <item x="5"/>
        <item x="3"/>
        <item x="6"/>
        <item t="default"/>
      </items>
    </pivotField>
    <pivotField showAll="0"/>
    <pivotField showAll="0"/>
    <pivotField showAll="0"/>
    <pivotField showAll="0"/>
    <pivotField showAll="0"/>
  </pivotFields>
  <rowFields count="1">
    <field x="29"/>
  </rowFields>
  <rowItems count="8">
    <i>
      <x/>
    </i>
    <i>
      <x v="1"/>
    </i>
    <i>
      <x v="2"/>
    </i>
    <i>
      <x v="3"/>
    </i>
    <i>
      <x v="4"/>
    </i>
    <i>
      <x v="5"/>
    </i>
    <i>
      <x v="6"/>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3D8F4B9-85B6-4B48-98D5-38D4582E1782}" name="PivotTable20"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Marital Status" colHeaderCaption="Attrition Status">
  <location ref="A23:D28" firstHeaderRow="1" firstDataRow="2" firstDataCol="1"/>
  <pivotFields count="35">
    <pivotField showAll="0"/>
    <pivotField axis="axisCol" dataField="1" showAll="0">
      <items count="3">
        <item x="1"/>
        <item x="0"/>
        <item t="default"/>
      </items>
    </pivotField>
    <pivotField showAll="0"/>
    <pivotField showAll="0"/>
    <pivotField showAll="0">
      <items count="4">
        <item x="2"/>
        <item x="1"/>
        <item x="0"/>
        <item t="default"/>
      </items>
    </pivotField>
    <pivotField showAll="0"/>
    <pivotField showAll="0">
      <items count="6">
        <item x="1"/>
        <item x="0"/>
        <item x="3"/>
        <item x="2"/>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17"/>
  </rowFields>
  <rowItems count="4">
    <i>
      <x/>
    </i>
    <i>
      <x v="1"/>
    </i>
    <i>
      <x v="2"/>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5104707-A930-489B-9B2B-4E5CDA98BBE0}" name="PivotTable19"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Job Involvement" colHeaderCaption="Attrition Status">
  <location ref="A9:D15" firstHeaderRow="1" firstDataRow="2" firstDataCol="1"/>
  <pivotFields count="35">
    <pivotField showAll="0"/>
    <pivotField axis="axisCol" dataField="1" showAll="0">
      <items count="3">
        <item x="1"/>
        <item x="0"/>
        <item t="default"/>
      </items>
    </pivotField>
    <pivotField showAll="0"/>
    <pivotField showAll="0"/>
    <pivotField showAll="0">
      <items count="4">
        <item x="2"/>
        <item x="1"/>
        <item x="0"/>
        <item t="default"/>
      </items>
    </pivotField>
    <pivotField showAll="0"/>
    <pivotField showAll="0">
      <items count="6">
        <item x="1"/>
        <item x="0"/>
        <item x="3"/>
        <item x="2"/>
        <item x="4"/>
        <item t="default"/>
      </items>
    </pivotField>
    <pivotField showAll="0"/>
    <pivotField showAll="0"/>
    <pivotField showAll="0"/>
    <pivotField showAll="0"/>
    <pivotField showAll="0">
      <items count="3">
        <item x="0"/>
        <item x="1"/>
        <item t="default"/>
      </items>
    </pivotField>
    <pivotField showAll="0"/>
    <pivotField axis="axisRow" showAll="0">
      <items count="5">
        <item x="3"/>
        <item x="1"/>
        <item x="0"/>
        <item x="2"/>
        <item t="default"/>
      </items>
    </pivotField>
    <pivotField showAll="0"/>
    <pivotField showAll="0"/>
    <pivotField showAll="0"/>
    <pivotField showAll="0">
      <items count="4">
        <item x="2"/>
        <item x="1"/>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5">
    <i>
      <x/>
    </i>
    <i>
      <x v="1"/>
    </i>
    <i>
      <x v="2"/>
    </i>
    <i>
      <x v="3"/>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D1D4D7-7B4A-4089-BA83-056E74673817}" name="PivotTable31"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Job Involvement" colHeaderCaption="Attrition Status">
  <location ref="A22:C28" firstHeaderRow="1" firstDataRow="2" firstDataCol="1"/>
  <pivotFields count="35">
    <pivotField showAll="0"/>
    <pivotField axis="axisCol" dataField="1" showAll="0">
      <items count="3">
        <item h="1" x="1"/>
        <item x="0"/>
        <item t="default"/>
      </items>
    </pivotField>
    <pivotField showAll="0"/>
    <pivotField showAll="0"/>
    <pivotField showAll="0">
      <items count="4">
        <item x="2"/>
        <item x="1"/>
        <item x="0"/>
        <item t="default"/>
      </items>
    </pivotField>
    <pivotField showAll="0"/>
    <pivotField showAll="0">
      <items count="6">
        <item x="1"/>
        <item x="0"/>
        <item x="3"/>
        <item x="2"/>
        <item x="4"/>
        <item t="default"/>
      </items>
    </pivotField>
    <pivotField showAll="0"/>
    <pivotField showAll="0"/>
    <pivotField showAll="0"/>
    <pivotField showAll="0"/>
    <pivotField showAll="0">
      <items count="3">
        <item x="0"/>
        <item x="1"/>
        <item t="default"/>
      </items>
    </pivotField>
    <pivotField showAll="0"/>
    <pivotField axis="axisRow" showAll="0">
      <items count="5">
        <item x="3"/>
        <item x="1"/>
        <item x="0"/>
        <item x="2"/>
        <item t="default"/>
      </items>
    </pivotField>
    <pivotField showAll="0"/>
    <pivotField showAll="0"/>
    <pivotField showAll="0"/>
    <pivotField showAll="0">
      <items count="4">
        <item x="2"/>
        <item x="1"/>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5">
    <i>
      <x/>
    </i>
    <i>
      <x v="1"/>
    </i>
    <i>
      <x v="2"/>
    </i>
    <i>
      <x v="3"/>
    </i>
    <i t="grand">
      <x/>
    </i>
  </rowItems>
  <colFields count="1">
    <field x="1"/>
  </colFields>
  <colItems count="2">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912126-A5E6-4962-B1B5-E01424039201}" name="PivotTable30"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Marital Status" colHeaderCaption="Attrition Status">
  <location ref="A13:C18" firstHeaderRow="1" firstDataRow="2" firstDataCol="1"/>
  <pivotFields count="35">
    <pivotField showAll="0"/>
    <pivotField axis="axisCol" dataField="1" showAll="0">
      <items count="3">
        <item h="1" x="1"/>
        <item x="0"/>
        <item t="default"/>
      </items>
    </pivotField>
    <pivotField showAll="0"/>
    <pivotField showAll="0"/>
    <pivotField showAll="0">
      <items count="4">
        <item x="2"/>
        <item x="1"/>
        <item x="0"/>
        <item t="default"/>
      </items>
    </pivotField>
    <pivotField showAll="0"/>
    <pivotField showAll="0">
      <items count="6">
        <item x="1"/>
        <item x="0"/>
        <item x="3"/>
        <item x="2"/>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17"/>
  </rowFields>
  <rowItems count="4">
    <i>
      <x/>
    </i>
    <i>
      <x v="1"/>
    </i>
    <i>
      <x v="2"/>
    </i>
    <i t="grand">
      <x/>
    </i>
  </rowItems>
  <colFields count="1">
    <field x="1"/>
  </colFields>
  <colItems count="2">
    <i>
      <x v="1"/>
    </i>
    <i t="grand">
      <x/>
    </i>
  </colItems>
  <dataFields count="1">
    <dataField name="Total Attrition" fld="1" subtotal="count" baseField="0" baseItem="0"/>
  </dataFields>
  <chartFormats count="6">
    <chartFormat chart="8" format="4" series="1">
      <pivotArea type="data" outline="0" fieldPosition="0">
        <references count="2">
          <reference field="4294967294" count="1" selected="0">
            <x v="0"/>
          </reference>
          <reference field="1" count="1" selected="0">
            <x v="0"/>
          </reference>
        </references>
      </pivotArea>
    </chartFormat>
    <chartFormat chart="8" format="5" series="1">
      <pivotArea type="data" outline="0" fieldPosition="0">
        <references count="2">
          <reference field="4294967294" count="1" selected="0">
            <x v="0"/>
          </reference>
          <reference field="1" count="1" selected="0">
            <x v="1"/>
          </reference>
        </references>
      </pivotArea>
    </chartFormat>
    <chartFormat chart="15" format="5" series="1">
      <pivotArea type="data" outline="0" fieldPosition="0">
        <references count="2">
          <reference field="4294967294" count="1" selected="0">
            <x v="0"/>
          </reference>
          <reference field="1" count="1" selected="0">
            <x v="1"/>
          </reference>
        </references>
      </pivotArea>
    </chartFormat>
    <chartFormat chart="15" format="6">
      <pivotArea type="data" outline="0" fieldPosition="0">
        <references count="3">
          <reference field="4294967294" count="1" selected="0">
            <x v="0"/>
          </reference>
          <reference field="1" count="1" selected="0">
            <x v="1"/>
          </reference>
          <reference field="17" count="1" selected="0">
            <x v="0"/>
          </reference>
        </references>
      </pivotArea>
    </chartFormat>
    <chartFormat chart="15" format="7">
      <pivotArea type="data" outline="0" fieldPosition="0">
        <references count="3">
          <reference field="4294967294" count="1" selected="0">
            <x v="0"/>
          </reference>
          <reference field="1" count="1" selected="0">
            <x v="1"/>
          </reference>
          <reference field="17" count="1" selected="0">
            <x v="1"/>
          </reference>
        </references>
      </pivotArea>
    </chartFormat>
    <chartFormat chart="15" format="8">
      <pivotArea type="data" outline="0" fieldPosition="0">
        <references count="3">
          <reference field="4294967294" count="1" selected="0">
            <x v="0"/>
          </reference>
          <reference field="1" count="1" selected="0">
            <x v="1"/>
          </reference>
          <reference field="1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CEA1BEC-3D0E-4E49-B570-F3A0BEED4799}" name="PivotTable29"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Department" colHeaderCaption="Attrition Status">
  <location ref="A2:C7" firstHeaderRow="1" firstDataRow="2" firstDataCol="1"/>
  <pivotFields count="35">
    <pivotField showAll="0"/>
    <pivotField axis="axisCol" dataField="1" showAll="0">
      <items count="3">
        <item h="1" x="1"/>
        <item x="0"/>
        <item t="default"/>
      </items>
    </pivotField>
    <pivotField showAll="0"/>
    <pivotField showAll="0"/>
    <pivotField axis="axisRow" showAll="0">
      <items count="4">
        <item x="2"/>
        <item x="1"/>
        <item x="0"/>
        <item t="default"/>
      </items>
    </pivotField>
    <pivotField showAll="0"/>
    <pivotField showAll="0">
      <items count="6">
        <item x="1"/>
        <item x="0"/>
        <item x="3"/>
        <item x="2"/>
        <item x="4"/>
        <item t="default"/>
      </items>
    </pivotField>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Fields count="1">
    <field x="1"/>
  </colFields>
  <colItems count="2">
    <i>
      <x v="1"/>
    </i>
    <i t="grand">
      <x/>
    </i>
  </colItems>
  <dataFields count="1">
    <dataField name="Total Attrition" fld="1" subtotal="count" baseField="0" baseItem="0"/>
  </dataFields>
  <chartFormats count="3">
    <chartFormat chart="14" format="4" series="1">
      <pivotArea type="data" outline="0" fieldPosition="0">
        <references count="2">
          <reference field="4294967294" count="1" selected="0">
            <x v="0"/>
          </reference>
          <reference field="1" count="1" selected="0">
            <x v="0"/>
          </reference>
        </references>
      </pivotArea>
    </chartFormat>
    <chartFormat chart="14" format="5" series="1">
      <pivotArea type="data" outline="0" fieldPosition="0">
        <references count="2">
          <reference field="4294967294" count="1" selected="0">
            <x v="0"/>
          </reference>
          <reference field="1" count="1" selected="0">
            <x v="1"/>
          </reference>
        </references>
      </pivotArea>
    </chartFormat>
    <chartFormat chart="20" format="2"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4928E54E-A3E2-4B80-AEDF-6E6E394CB78D}" sourceName="Department">
  <pivotTables>
    <pivotTable tabId="4" name="PivotTable1"/>
    <pivotTable tabId="4" name="PivotTable16"/>
    <pivotTable tabId="4" name="PivotTable17"/>
    <pivotTable tabId="4" name="PivotTable18"/>
    <pivotTable tabId="4" name="PivotTable2"/>
    <pivotTable tabId="4" name="PivotTable3"/>
    <pivotTable tabId="8" name="PivotTable29"/>
    <pivotTable tabId="8" name="PivotTable30"/>
    <pivotTable tabId="8" name="PivotTable31"/>
    <pivotTable tabId="6" name="PivotTable19"/>
    <pivotTable tabId="6" name="PivotTable20"/>
    <pivotTable tabId="6" name="PivotTable21"/>
    <pivotTable tabId="6" name="PivotTable22"/>
    <pivotTable tabId="6" name="PivotTable23"/>
    <pivotTable tabId="6" name="PivotTable24"/>
    <pivotTable tabId="6" name="PivotTable25"/>
  </pivotTables>
  <data>
    <tabular pivotCacheId="1419879505">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99AF5AB2-0435-409D-8D78-0E476A2BF0A0}" sourceName="Education">
  <pivotTables>
    <pivotTable tabId="4" name="PivotTable1"/>
    <pivotTable tabId="4" name="PivotTable16"/>
    <pivotTable tabId="4" name="PivotTable17"/>
    <pivotTable tabId="4" name="PivotTable18"/>
    <pivotTable tabId="4" name="PivotTable2"/>
    <pivotTable tabId="4" name="PivotTable3"/>
    <pivotTable tabId="8" name="PivotTable29"/>
    <pivotTable tabId="8" name="PivotTable30"/>
    <pivotTable tabId="8" name="PivotTable31"/>
    <pivotTable tabId="6" name="PivotTable19"/>
    <pivotTable tabId="6" name="PivotTable20"/>
    <pivotTable tabId="6" name="PivotTable21"/>
    <pivotTable tabId="6" name="PivotTable22"/>
    <pivotTable tabId="6" name="PivotTable23"/>
    <pivotTable tabId="6" name="PivotTable24"/>
    <pivotTable tabId="6" name="PivotTable25"/>
  </pivotTables>
  <data>
    <tabular pivotCacheId="1419879505">
      <items count="5">
        <i x="1" s="1"/>
        <i x="0" s="1"/>
        <i x="3" s="1"/>
        <i x="2"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Status" xr10:uid="{758E81FD-8A68-44FA-AF08-08DE4CCE9EF4}" sourceName="MaritalStatus">
  <pivotTables>
    <pivotTable tabId="4" name="PivotTable1"/>
    <pivotTable tabId="4" name="PivotTable16"/>
    <pivotTable tabId="4" name="PivotTable17"/>
    <pivotTable tabId="4" name="PivotTable18"/>
    <pivotTable tabId="4" name="PivotTable2"/>
    <pivotTable tabId="4" name="PivotTable3"/>
    <pivotTable tabId="8" name="PivotTable29"/>
    <pivotTable tabId="8" name="PivotTable30"/>
    <pivotTable tabId="8" name="PivotTable31"/>
    <pivotTable tabId="6" name="PivotTable19"/>
    <pivotTable tabId="6" name="PivotTable20"/>
    <pivotTable tabId="6" name="PivotTable21"/>
    <pivotTable tabId="6" name="PivotTable22"/>
    <pivotTable tabId="6" name="PivotTable23"/>
    <pivotTable tabId="6" name="PivotTable24"/>
    <pivotTable tabId="6" name="PivotTable25"/>
  </pivotTables>
  <data>
    <tabular pivotCacheId="1419879505">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1A754767-16D7-4BE3-8006-B3A218E6DBA6}" sourceName="OverTime">
  <pivotTables>
    <pivotTable tabId="4" name="PivotTable1"/>
    <pivotTable tabId="4" name="PivotTable16"/>
    <pivotTable tabId="4" name="PivotTable17"/>
    <pivotTable tabId="4" name="PivotTable18"/>
    <pivotTable tabId="4" name="PivotTable2"/>
    <pivotTable tabId="4" name="PivotTable3"/>
    <pivotTable tabId="8" name="PivotTable29"/>
    <pivotTable tabId="8" name="PivotTable30"/>
    <pivotTable tabId="8" name="PivotTable31"/>
    <pivotTable tabId="6" name="PivotTable19"/>
    <pivotTable tabId="6" name="PivotTable20"/>
    <pivotTable tabId="6" name="PivotTable21"/>
    <pivotTable tabId="6" name="PivotTable22"/>
    <pivotTable tabId="6" name="PivotTable23"/>
    <pivotTable tabId="6" name="PivotTable24"/>
    <pivotTable tabId="6" name="PivotTable25"/>
  </pivotTables>
  <data>
    <tabular pivotCacheId="141987950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3F15B844-22E7-4821-A8B4-27AF2A9901FD}" cache="Slicer_Department" caption="Department" style="SlicerStyleLight2" rowHeight="257175"/>
  <slicer name="Education" xr10:uid="{3851D8F0-E7DB-4CCB-BC7B-ACE0729397EA}" cache="Slicer_Education" caption="Education" style="SlicerStyleLight4" rowHeight="257175"/>
  <slicer name="MaritalStatus" xr10:uid="{4C3C95B0-03F1-4A7A-9340-378246E15786}" cache="Slicer_MaritalStatus" caption="MaritalStatus" style="SlicerStyleLight6" rowHeight="257175"/>
  <slicer name="OverTime" xr10:uid="{8313E29C-974D-4131-B0FD-E4F7EDBD7316}" cache="Slicer_OverTime" caption="OverTime" style="SlicerStyleOther2"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320D27-C8C1-4B1B-9A68-9E1083846BBA}" name="tblHRAnalytics" displayName="tblHRAnalytics" ref="A1:AJ1471" totalsRowShown="0">
  <autoFilter ref="A1:AJ1471" xr:uid="{21320D27-C8C1-4B1B-9A68-9E1083846BBA}"/>
  <tableColumns count="36">
    <tableColumn id="1" xr3:uid="{B3C14989-A0F2-42D1-A459-85AD77DC9351}" name="Age"/>
    <tableColumn id="2" xr3:uid="{7670250E-3ED1-4951-9DF6-38C48942942F}" name="Attrition"/>
    <tableColumn id="3" xr3:uid="{6DC35A15-3786-4B85-A317-747E747709A1}" name="BusinessTravel"/>
    <tableColumn id="4" xr3:uid="{5DB6F2C6-743A-464C-BADB-993257A5A227}" name="DailyRate"/>
    <tableColumn id="5" xr3:uid="{9C313380-3868-4E03-984B-5672B144225B}" name="Department"/>
    <tableColumn id="6" xr3:uid="{60AD7100-C937-48B8-8357-C9A0B7B90B53}" name="DistanceFromHome"/>
    <tableColumn id="7" xr3:uid="{A6496FF8-492A-4215-A176-2035956ADC44}" name="Education"/>
    <tableColumn id="8" xr3:uid="{37D4AEB9-3E53-4CE5-9271-6E90FBFDDC80}" name="EducationField"/>
    <tableColumn id="9" xr3:uid="{1F461B9D-BC2F-40FF-AD69-CB6FD4005E86}" name="EmployeeCount"/>
    <tableColumn id="10" xr3:uid="{E8884C20-6C06-441B-9C73-29A953C64A4E}" name="EmployeeNumber"/>
    <tableColumn id="11" xr3:uid="{03CFB21F-97F6-4DA8-A14D-D24D2F31A949}" name="EnvironmentSatisfaction"/>
    <tableColumn id="12" xr3:uid="{54274526-6F57-4E49-A89A-B6CC79ABEE6D}" name="Gender"/>
    <tableColumn id="13" xr3:uid="{8D3DDBE9-BF66-4F7D-A0C0-AEE052093DB8}" name="HourlyRate"/>
    <tableColumn id="14" xr3:uid="{4AA70100-2445-4D80-8439-2516F7FF69AC}" name="JobInvolvement"/>
    <tableColumn id="15" xr3:uid="{A69419F8-EF47-4885-9D0E-9B465BAFD30E}" name="JobLevel"/>
    <tableColumn id="16" xr3:uid="{086DDFA5-E9E4-4586-923E-47CFF7D55ACE}" name="JobRole"/>
    <tableColumn id="17" xr3:uid="{89672372-EF04-4D9C-AA8D-A4AE6009FC0A}" name="JobSatisfaction"/>
    <tableColumn id="18" xr3:uid="{E71580CE-6722-433A-8D82-739CD2D3BF69}" name="MaritalStatus"/>
    <tableColumn id="19" xr3:uid="{F70D15D3-DD5F-4AEB-B9C8-035849F3BBEE}" name="MonthlyIncome"/>
    <tableColumn id="20" xr3:uid="{A50B7B4A-59CB-4104-9EB8-04CBDBB54222}" name="MonthlyRate"/>
    <tableColumn id="21" xr3:uid="{B91F712A-F0FE-459C-A0B9-F1E398D8EB89}" name="NumCompaniesWorked"/>
    <tableColumn id="22" xr3:uid="{CA49EF45-D445-4001-B944-93895F0348D3}" name="Over18"/>
    <tableColumn id="23" xr3:uid="{849CD32C-D373-4E16-A45F-04EF743681EF}" name="OverTime"/>
    <tableColumn id="24" xr3:uid="{521C3C7F-47A7-4C2C-8C72-DE438567B4F0}" name="PercentSalaryHike"/>
    <tableColumn id="25" xr3:uid="{E3FA468B-D5D9-4F33-8A3A-1673B01C6859}" name="PerformanceRating"/>
    <tableColumn id="26" xr3:uid="{7CE098C9-FE70-4C1D-BE11-C5F43BA2C6A9}" name="RelationshipSatisfaction"/>
    <tableColumn id="27" xr3:uid="{2C8E9BAF-67CF-4CB0-99D8-9DB479F68B53}" name="StandardHours"/>
    <tableColumn id="28" xr3:uid="{AADB014A-DD16-4CAA-98AB-AF196CEB5A6F}" name="StockOptionLevel"/>
    <tableColumn id="29" xr3:uid="{AC9498F8-4B59-4C25-B166-95576EC69B50}" name="TotalWorkingYears"/>
    <tableColumn id="30" xr3:uid="{AA446FE9-983C-4D47-96C7-4E6842A565D1}" name="TrainingTimesLastYear"/>
    <tableColumn id="31" xr3:uid="{17986177-C739-4A72-AC6B-3F96817F42D1}" name="WorkLifeBalance"/>
    <tableColumn id="32" xr3:uid="{D50D883E-26FC-420B-9FED-9CE0B29F39E3}" name="YearsAtCompany"/>
    <tableColumn id="33" xr3:uid="{24BE4184-438B-48CF-A401-5F7E22A15C0B}" name="YearsInCurrentRole"/>
    <tableColumn id="34" xr3:uid="{6613C618-2904-4C70-8C85-3A05E232C60C}" name="YearsSinceLastPromotion"/>
    <tableColumn id="35" xr3:uid="{6114B464-25BE-4D5B-8E77-12687DD9E435}" name="YearsWithCurrManager"/>
    <tableColumn id="36" xr3:uid="{09668662-0B2D-4D22-A682-B0144B5FE0C5}" name="Attrition Value" dataDxfId="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9.xml"/><Relationship Id="rId7" Type="http://schemas.openxmlformats.org/officeDocument/2006/relationships/pivotTable" Target="../pivotTables/pivotTable13.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6.xml"/><Relationship Id="rId2" Type="http://schemas.openxmlformats.org/officeDocument/2006/relationships/pivotTable" Target="../pivotTables/pivotTable15.xml"/><Relationship Id="rId1"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5ED31-0267-4AA2-A8D5-40CEABD16B5C}">
  <dimension ref="A1:AT1471"/>
  <sheetViews>
    <sheetView workbookViewId="0">
      <selection activeCell="A2" sqref="A2:A1471"/>
    </sheetView>
  </sheetViews>
  <sheetFormatPr defaultRowHeight="15"/>
  <cols>
    <col min="1" max="1" width="6.5703125" bestFit="1" customWidth="1"/>
    <col min="2" max="2" width="10.7109375" bestFit="1" customWidth="1"/>
    <col min="3" max="3" width="17" bestFit="1" customWidth="1"/>
    <col min="4" max="4" width="12" bestFit="1" customWidth="1"/>
    <col min="5" max="5" width="23.140625" bestFit="1" customWidth="1"/>
    <col min="6" max="6" width="23.140625" customWidth="1"/>
    <col min="7" max="7" width="21.5703125" bestFit="1" customWidth="1"/>
    <col min="8" max="8" width="17.28515625" bestFit="1" customWidth="1"/>
    <col min="9" max="9" width="18" bestFit="1" customWidth="1"/>
    <col min="10" max="10" width="19.85546875" bestFit="1" customWidth="1"/>
    <col min="11" max="12" width="26" bestFit="1" customWidth="1"/>
    <col min="13" max="13" width="10" bestFit="1" customWidth="1"/>
    <col min="14" max="14" width="13.42578125" bestFit="1" customWidth="1"/>
    <col min="15" max="15" width="17.7109375" bestFit="1" customWidth="1"/>
    <col min="16" max="16" width="11.140625" bestFit="1" customWidth="1"/>
    <col min="17" max="17" width="24.28515625" bestFit="1" customWidth="1"/>
    <col min="18" max="18" width="17.140625" bestFit="1" customWidth="1"/>
    <col min="19" max="19" width="15.140625" bestFit="1" customWidth="1"/>
    <col min="20" max="20" width="17.42578125" bestFit="1" customWidth="1"/>
    <col min="21" max="22" width="25.28515625" bestFit="1" customWidth="1"/>
    <col min="23" max="23" width="9.5703125" bestFit="1" customWidth="1"/>
    <col min="24" max="24" width="12" bestFit="1" customWidth="1"/>
    <col min="25" max="25" width="20.140625" bestFit="1" customWidth="1"/>
    <col min="26" max="26" width="20.42578125" customWidth="1"/>
    <col min="27" max="27" width="25.85546875" bestFit="1" customWidth="1"/>
    <col min="28" max="28" width="16.85546875" bestFit="1" customWidth="1"/>
    <col min="29" max="29" width="19.5703125" bestFit="1" customWidth="1"/>
    <col min="30" max="30" width="20.42578125" bestFit="1" customWidth="1"/>
    <col min="31" max="31" width="24" bestFit="1" customWidth="1"/>
    <col min="32" max="32" width="18.5703125" bestFit="1" customWidth="1"/>
    <col min="33" max="33" width="18.85546875" bestFit="1" customWidth="1"/>
    <col min="34" max="34" width="21.42578125" bestFit="1" customWidth="1"/>
    <col min="35" max="35" width="26.85546875" bestFit="1" customWidth="1"/>
    <col min="36" max="36" width="24" customWidth="1"/>
    <col min="46" max="46" width="16" bestFit="1" customWidth="1"/>
    <col min="47" max="47" width="20.5703125" customWidth="1"/>
  </cols>
  <sheetData>
    <row r="1" spans="1:46" ht="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110</v>
      </c>
      <c r="AS1" s="14"/>
      <c r="AT1" s="14"/>
    </row>
    <row r="2" spans="1:46">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c r="AJ2" s="5">
        <f>IF(tblHRAnalytics[[#This Row],[Attrition]]="Yes",1,0)</f>
        <v>1</v>
      </c>
    </row>
    <row r="3" spans="1:46">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c r="AJ3">
        <f>IF(tblHRAnalytics[[#This Row],[Attrition]]="Yes",1,0)</f>
        <v>0</v>
      </c>
      <c r="AS3" s="1" t="s">
        <v>62</v>
      </c>
      <c r="AT3" s="1" t="s">
        <v>63</v>
      </c>
    </row>
    <row r="4" spans="1:46">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c r="AJ4">
        <f>IF(tblHRAnalytics[[#This Row],[Attrition]]="Yes",1,0)</f>
        <v>1</v>
      </c>
      <c r="AS4" s="8" t="s">
        <v>64</v>
      </c>
      <c r="AT4" s="9">
        <f>ROWS(tblHRAnalytics[])</f>
        <v>1470</v>
      </c>
    </row>
    <row r="5" spans="1:46">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c r="AJ5">
        <f>IF(tblHRAnalytics[[#This Row],[Attrition]]="Yes",1,0)</f>
        <v>0</v>
      </c>
      <c r="AS5" s="8" t="s">
        <v>65</v>
      </c>
      <c r="AT5" s="2">
        <f>COUNTIF(tblHRAnalytics[Attrition],"Yes")</f>
        <v>237</v>
      </c>
    </row>
    <row r="6" spans="1:46">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c r="AJ6">
        <f>IF(tblHRAnalytics[[#This Row],[Attrition]]="Yes",1,0)</f>
        <v>0</v>
      </c>
      <c r="AS6" s="8" t="s">
        <v>66</v>
      </c>
      <c r="AT6" s="10">
        <f>AT5/AT4</f>
        <v>0.16122448979591836</v>
      </c>
    </row>
    <row r="7" spans="1:46">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c r="AJ7">
        <f>IF(tblHRAnalytics[[#This Row],[Attrition]]="Yes",1,0)</f>
        <v>0</v>
      </c>
    </row>
    <row r="8" spans="1:46">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c r="AJ8">
        <f>IF(tblHRAnalytics[[#This Row],[Attrition]]="Yes",1,0)</f>
        <v>0</v>
      </c>
    </row>
    <row r="9" spans="1:46">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c r="AJ9">
        <f>IF(tblHRAnalytics[[#This Row],[Attrition]]="Yes",1,0)</f>
        <v>0</v>
      </c>
    </row>
    <row r="10" spans="1:46">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c r="AJ10">
        <f>IF(tblHRAnalytics[[#This Row],[Attrition]]="Yes",1,0)</f>
        <v>0</v>
      </c>
    </row>
    <row r="11" spans="1:46">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c r="AJ11">
        <f>IF(tblHRAnalytics[[#This Row],[Attrition]]="Yes",1,0)</f>
        <v>0</v>
      </c>
    </row>
    <row r="12" spans="1:46">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c r="AJ12">
        <f>IF(tblHRAnalytics[[#This Row],[Attrition]]="Yes",1,0)</f>
        <v>0</v>
      </c>
    </row>
    <row r="13" spans="1:46">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c r="AJ13">
        <f>IF(tblHRAnalytics[[#This Row],[Attrition]]="Yes",1,0)</f>
        <v>0</v>
      </c>
    </row>
    <row r="14" spans="1:46">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c r="AJ14">
        <f>IF(tblHRAnalytics[[#This Row],[Attrition]]="Yes",1,0)</f>
        <v>0</v>
      </c>
    </row>
    <row r="15" spans="1:46">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c r="AJ15">
        <f>IF(tblHRAnalytics[[#This Row],[Attrition]]="Yes",1,0)</f>
        <v>0</v>
      </c>
    </row>
    <row r="16" spans="1:46">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c r="AJ16">
        <f>IF(tblHRAnalytics[[#This Row],[Attrition]]="Yes",1,0)</f>
        <v>1</v>
      </c>
    </row>
    <row r="17" spans="1:36">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c r="AJ17">
        <f>IF(tblHRAnalytics[[#This Row],[Attrition]]="Yes",1,0)</f>
        <v>0</v>
      </c>
    </row>
    <row r="18" spans="1:36">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c r="AJ18">
        <f>IF(tblHRAnalytics[[#This Row],[Attrition]]="Yes",1,0)</f>
        <v>0</v>
      </c>
    </row>
    <row r="19" spans="1:36">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c r="AJ19">
        <f>IF(tblHRAnalytics[[#This Row],[Attrition]]="Yes",1,0)</f>
        <v>0</v>
      </c>
    </row>
    <row r="20" spans="1:36">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c r="AJ20">
        <f>IF(tblHRAnalytics[[#This Row],[Attrition]]="Yes",1,0)</f>
        <v>0</v>
      </c>
    </row>
    <row r="21" spans="1:36">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c r="AJ21">
        <f>IF(tblHRAnalytics[[#This Row],[Attrition]]="Yes",1,0)</f>
        <v>0</v>
      </c>
    </row>
    <row r="22" spans="1:36">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c r="AJ22">
        <f>IF(tblHRAnalytics[[#This Row],[Attrition]]="Yes",1,0)</f>
        <v>0</v>
      </c>
    </row>
    <row r="23" spans="1:36">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c r="AJ23">
        <f>IF(tblHRAnalytics[[#This Row],[Attrition]]="Yes",1,0)</f>
        <v>1</v>
      </c>
    </row>
    <row r="24" spans="1:36">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c r="AJ24">
        <f>IF(tblHRAnalytics[[#This Row],[Attrition]]="Yes",1,0)</f>
        <v>0</v>
      </c>
    </row>
    <row r="25" spans="1:36">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c r="AJ25">
        <f>IF(tblHRAnalytics[[#This Row],[Attrition]]="Yes",1,0)</f>
        <v>0</v>
      </c>
    </row>
    <row r="26" spans="1:36">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c r="AJ26">
        <f>IF(tblHRAnalytics[[#This Row],[Attrition]]="Yes",1,0)</f>
        <v>1</v>
      </c>
    </row>
    <row r="27" spans="1:36">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c r="AJ27">
        <f>IF(tblHRAnalytics[[#This Row],[Attrition]]="Yes",1,0)</f>
        <v>0</v>
      </c>
    </row>
    <row r="28" spans="1:36">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c r="AJ28">
        <f>IF(tblHRAnalytics[[#This Row],[Attrition]]="Yes",1,0)</f>
        <v>1</v>
      </c>
    </row>
    <row r="29" spans="1:36">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c r="AJ29">
        <f>IF(tblHRAnalytics[[#This Row],[Attrition]]="Yes",1,0)</f>
        <v>0</v>
      </c>
    </row>
    <row r="30" spans="1:36">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c r="AJ30">
        <f>IF(tblHRAnalytics[[#This Row],[Attrition]]="Yes",1,0)</f>
        <v>0</v>
      </c>
    </row>
    <row r="31" spans="1:36">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c r="AJ31">
        <f>IF(tblHRAnalytics[[#This Row],[Attrition]]="Yes",1,0)</f>
        <v>0</v>
      </c>
    </row>
    <row r="32" spans="1:36">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c r="AJ32">
        <f>IF(tblHRAnalytics[[#This Row],[Attrition]]="Yes",1,0)</f>
        <v>0</v>
      </c>
    </row>
    <row r="33" spans="1:36">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c r="AJ33">
        <f>IF(tblHRAnalytics[[#This Row],[Attrition]]="Yes",1,0)</f>
        <v>0</v>
      </c>
    </row>
    <row r="34" spans="1:36">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c r="AJ34">
        <f>IF(tblHRAnalytics[[#This Row],[Attrition]]="Yes",1,0)</f>
        <v>0</v>
      </c>
    </row>
    <row r="35" spans="1:36">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c r="AJ35">
        <f>IF(tblHRAnalytics[[#This Row],[Attrition]]="Yes",1,0)</f>
        <v>1</v>
      </c>
    </row>
    <row r="36" spans="1:36">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c r="AJ36">
        <f>IF(tblHRAnalytics[[#This Row],[Attrition]]="Yes",1,0)</f>
        <v>1</v>
      </c>
    </row>
    <row r="37" spans="1:36">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c r="AJ37">
        <f>IF(tblHRAnalytics[[#This Row],[Attrition]]="Yes",1,0)</f>
        <v>0</v>
      </c>
    </row>
    <row r="38" spans="1:36">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c r="AJ38">
        <f>IF(tblHRAnalytics[[#This Row],[Attrition]]="Yes",1,0)</f>
        <v>1</v>
      </c>
    </row>
    <row r="39" spans="1:36">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c r="AJ39">
        <f>IF(tblHRAnalytics[[#This Row],[Attrition]]="Yes",1,0)</f>
        <v>0</v>
      </c>
    </row>
    <row r="40" spans="1:36">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c r="AJ40">
        <f>IF(tblHRAnalytics[[#This Row],[Attrition]]="Yes",1,0)</f>
        <v>0</v>
      </c>
    </row>
    <row r="41" spans="1:36">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c r="AJ41">
        <f>IF(tblHRAnalytics[[#This Row],[Attrition]]="Yes",1,0)</f>
        <v>0</v>
      </c>
    </row>
    <row r="42" spans="1:36">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c r="AJ42">
        <f>IF(tblHRAnalytics[[#This Row],[Attrition]]="Yes",1,0)</f>
        <v>0</v>
      </c>
    </row>
    <row r="43" spans="1:36">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c r="AJ43">
        <f>IF(tblHRAnalytics[[#This Row],[Attrition]]="Yes",1,0)</f>
        <v>0</v>
      </c>
    </row>
    <row r="44" spans="1:36">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c r="AJ44">
        <f>IF(tblHRAnalytics[[#This Row],[Attrition]]="Yes",1,0)</f>
        <v>1</v>
      </c>
    </row>
    <row r="45" spans="1:36">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c r="AJ45">
        <f>IF(tblHRAnalytics[[#This Row],[Attrition]]="Yes",1,0)</f>
        <v>0</v>
      </c>
    </row>
    <row r="46" spans="1:36">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c r="AJ46">
        <f>IF(tblHRAnalytics[[#This Row],[Attrition]]="Yes",1,0)</f>
        <v>0</v>
      </c>
    </row>
    <row r="47" spans="1:36">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c r="AJ47">
        <f>IF(tblHRAnalytics[[#This Row],[Attrition]]="Yes",1,0)</f>
        <v>1</v>
      </c>
    </row>
    <row r="48" spans="1:36">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c r="AJ48">
        <f>IF(tblHRAnalytics[[#This Row],[Attrition]]="Yes",1,0)</f>
        <v>0</v>
      </c>
    </row>
    <row r="49" spans="1:36">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c r="AJ49">
        <f>IF(tblHRAnalytics[[#This Row],[Attrition]]="Yes",1,0)</f>
        <v>0</v>
      </c>
    </row>
    <row r="50" spans="1:36">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c r="AJ50">
        <f>IF(tblHRAnalytics[[#This Row],[Attrition]]="Yes",1,0)</f>
        <v>0</v>
      </c>
    </row>
    <row r="51" spans="1:36">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c r="AJ51">
        <f>IF(tblHRAnalytics[[#This Row],[Attrition]]="Yes",1,0)</f>
        <v>0</v>
      </c>
    </row>
    <row r="52" spans="1:36">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c r="AJ52">
        <f>IF(tblHRAnalytics[[#This Row],[Attrition]]="Yes",1,0)</f>
        <v>1</v>
      </c>
    </row>
    <row r="53" spans="1:36">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c r="AJ53">
        <f>IF(tblHRAnalytics[[#This Row],[Attrition]]="Yes",1,0)</f>
        <v>1</v>
      </c>
    </row>
    <row r="54" spans="1:36">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c r="AJ54">
        <f>IF(tblHRAnalytics[[#This Row],[Attrition]]="Yes",1,0)</f>
        <v>0</v>
      </c>
    </row>
    <row r="55" spans="1:36">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c r="AJ55">
        <f>IF(tblHRAnalytics[[#This Row],[Attrition]]="Yes",1,0)</f>
        <v>0</v>
      </c>
    </row>
    <row r="56" spans="1:36">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c r="AJ56">
        <f>IF(tblHRAnalytics[[#This Row],[Attrition]]="Yes",1,0)</f>
        <v>0</v>
      </c>
    </row>
    <row r="57" spans="1:36">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c r="AJ57">
        <f>IF(tblHRAnalytics[[#This Row],[Attrition]]="Yes",1,0)</f>
        <v>0</v>
      </c>
    </row>
    <row r="58" spans="1:36">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c r="AJ58">
        <f>IF(tblHRAnalytics[[#This Row],[Attrition]]="Yes",1,0)</f>
        <v>0</v>
      </c>
    </row>
    <row r="59" spans="1:36">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c r="AJ59">
        <f>IF(tblHRAnalytics[[#This Row],[Attrition]]="Yes",1,0)</f>
        <v>0</v>
      </c>
    </row>
    <row r="60" spans="1:36">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c r="AJ60">
        <f>IF(tblHRAnalytics[[#This Row],[Attrition]]="Yes",1,0)</f>
        <v>0</v>
      </c>
    </row>
    <row r="61" spans="1:36">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c r="AJ61">
        <f>IF(tblHRAnalytics[[#This Row],[Attrition]]="Yes",1,0)</f>
        <v>0</v>
      </c>
    </row>
    <row r="62" spans="1:36">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c r="AJ62">
        <f>IF(tblHRAnalytics[[#This Row],[Attrition]]="Yes",1,0)</f>
        <v>0</v>
      </c>
    </row>
    <row r="63" spans="1:36">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c r="AJ63">
        <f>IF(tblHRAnalytics[[#This Row],[Attrition]]="Yes",1,0)</f>
        <v>0</v>
      </c>
    </row>
    <row r="64" spans="1:36">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c r="AJ64">
        <f>IF(tblHRAnalytics[[#This Row],[Attrition]]="Yes",1,0)</f>
        <v>0</v>
      </c>
    </row>
    <row r="65" spans="1:36">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c r="AJ65">
        <f>IF(tblHRAnalytics[[#This Row],[Attrition]]="Yes",1,0)</f>
        <v>0</v>
      </c>
    </row>
    <row r="66" spans="1:36">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c r="AJ66">
        <f>IF(tblHRAnalytics[[#This Row],[Attrition]]="Yes",1,0)</f>
        <v>0</v>
      </c>
    </row>
    <row r="67" spans="1:36">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c r="AJ67">
        <f>IF(tblHRAnalytics[[#This Row],[Attrition]]="Yes",1,0)</f>
        <v>0</v>
      </c>
    </row>
    <row r="68" spans="1:36">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c r="AJ68">
        <f>IF(tblHRAnalytics[[#This Row],[Attrition]]="Yes",1,0)</f>
        <v>0</v>
      </c>
    </row>
    <row r="69" spans="1:36">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c r="AJ69">
        <f>IF(tblHRAnalytics[[#This Row],[Attrition]]="Yes",1,0)</f>
        <v>0</v>
      </c>
    </row>
    <row r="70" spans="1:36">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c r="AJ70">
        <f>IF(tblHRAnalytics[[#This Row],[Attrition]]="Yes",1,0)</f>
        <v>0</v>
      </c>
    </row>
    <row r="71" spans="1:36">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c r="AJ71">
        <f>IF(tblHRAnalytics[[#This Row],[Attrition]]="Yes",1,0)</f>
        <v>1</v>
      </c>
    </row>
    <row r="72" spans="1:36">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c r="AJ72">
        <f>IF(tblHRAnalytics[[#This Row],[Attrition]]="Yes",1,0)</f>
        <v>0</v>
      </c>
    </row>
    <row r="73" spans="1:36">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c r="AJ73">
        <f>IF(tblHRAnalytics[[#This Row],[Attrition]]="Yes",1,0)</f>
        <v>0</v>
      </c>
    </row>
    <row r="74" spans="1:36">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c r="AJ74">
        <f>IF(tblHRAnalytics[[#This Row],[Attrition]]="Yes",1,0)</f>
        <v>0</v>
      </c>
    </row>
    <row r="75" spans="1:36">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c r="AJ75">
        <f>IF(tblHRAnalytics[[#This Row],[Attrition]]="Yes",1,0)</f>
        <v>0</v>
      </c>
    </row>
    <row r="76" spans="1:36">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c r="AJ76">
        <f>IF(tblHRAnalytics[[#This Row],[Attrition]]="Yes",1,0)</f>
        <v>0</v>
      </c>
    </row>
    <row r="77" spans="1:36">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c r="AJ77">
        <f>IF(tblHRAnalytics[[#This Row],[Attrition]]="Yes",1,0)</f>
        <v>0</v>
      </c>
    </row>
    <row r="78" spans="1:36">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c r="AJ78">
        <f>IF(tblHRAnalytics[[#This Row],[Attrition]]="Yes",1,0)</f>
        <v>0</v>
      </c>
    </row>
    <row r="79" spans="1:36">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c r="AJ79">
        <f>IF(tblHRAnalytics[[#This Row],[Attrition]]="Yes",1,0)</f>
        <v>0</v>
      </c>
    </row>
    <row r="80" spans="1:36">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c r="AJ80">
        <f>IF(tblHRAnalytics[[#This Row],[Attrition]]="Yes",1,0)</f>
        <v>0</v>
      </c>
    </row>
    <row r="81" spans="1:36">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c r="AJ81">
        <f>IF(tblHRAnalytics[[#This Row],[Attrition]]="Yes",1,0)</f>
        <v>0</v>
      </c>
    </row>
    <row r="82" spans="1:36">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c r="AJ82">
        <f>IF(tblHRAnalytics[[#This Row],[Attrition]]="Yes",1,0)</f>
        <v>0</v>
      </c>
    </row>
    <row r="83" spans="1:36">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c r="AJ83">
        <f>IF(tblHRAnalytics[[#This Row],[Attrition]]="Yes",1,0)</f>
        <v>0</v>
      </c>
    </row>
    <row r="84" spans="1:36">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c r="AJ84">
        <f>IF(tblHRAnalytics[[#This Row],[Attrition]]="Yes",1,0)</f>
        <v>0</v>
      </c>
    </row>
    <row r="85" spans="1:36">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c r="AJ85">
        <f>IF(tblHRAnalytics[[#This Row],[Attrition]]="Yes",1,0)</f>
        <v>0</v>
      </c>
    </row>
    <row r="86" spans="1:36">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c r="AJ86">
        <f>IF(tblHRAnalytics[[#This Row],[Attrition]]="Yes",1,0)</f>
        <v>0</v>
      </c>
    </row>
    <row r="87" spans="1:36">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c r="AJ87">
        <f>IF(tblHRAnalytics[[#This Row],[Attrition]]="Yes",1,0)</f>
        <v>0</v>
      </c>
    </row>
    <row r="88" spans="1:36">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c r="AJ88">
        <f>IF(tblHRAnalytics[[#This Row],[Attrition]]="Yes",1,0)</f>
        <v>0</v>
      </c>
    </row>
    <row r="89" spans="1:36">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c r="AJ89">
        <f>IF(tblHRAnalytics[[#This Row],[Attrition]]="Yes",1,0)</f>
        <v>0</v>
      </c>
    </row>
    <row r="90" spans="1:36">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c r="AJ90">
        <f>IF(tblHRAnalytics[[#This Row],[Attrition]]="Yes",1,0)</f>
        <v>0</v>
      </c>
    </row>
    <row r="91" spans="1:36">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c r="AJ91">
        <f>IF(tblHRAnalytics[[#This Row],[Attrition]]="Yes",1,0)</f>
        <v>1</v>
      </c>
    </row>
    <row r="92" spans="1:36">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c r="AJ92">
        <f>IF(tblHRAnalytics[[#This Row],[Attrition]]="Yes",1,0)</f>
        <v>0</v>
      </c>
    </row>
    <row r="93" spans="1:36">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c r="AJ93">
        <f>IF(tblHRAnalytics[[#This Row],[Attrition]]="Yes",1,0)</f>
        <v>0</v>
      </c>
    </row>
    <row r="94" spans="1:36">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c r="AJ94">
        <f>IF(tblHRAnalytics[[#This Row],[Attrition]]="Yes",1,0)</f>
        <v>0</v>
      </c>
    </row>
    <row r="95" spans="1:36">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c r="AJ95">
        <f>IF(tblHRAnalytics[[#This Row],[Attrition]]="Yes",1,0)</f>
        <v>0</v>
      </c>
    </row>
    <row r="96" spans="1:36">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c r="AJ96">
        <f>IF(tblHRAnalytics[[#This Row],[Attrition]]="Yes",1,0)</f>
        <v>0</v>
      </c>
    </row>
    <row r="97" spans="1:36">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c r="AJ97">
        <f>IF(tblHRAnalytics[[#This Row],[Attrition]]="Yes",1,0)</f>
        <v>0</v>
      </c>
    </row>
    <row r="98" spans="1:36">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c r="AJ98">
        <f>IF(tblHRAnalytics[[#This Row],[Attrition]]="Yes",1,0)</f>
        <v>0</v>
      </c>
    </row>
    <row r="99" spans="1:36">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c r="AJ99">
        <f>IF(tblHRAnalytics[[#This Row],[Attrition]]="Yes",1,0)</f>
        <v>0</v>
      </c>
    </row>
    <row r="100" spans="1:36">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c r="AJ100">
        <f>IF(tblHRAnalytics[[#This Row],[Attrition]]="Yes",1,0)</f>
        <v>0</v>
      </c>
    </row>
    <row r="101" spans="1:36">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c r="AJ101">
        <f>IF(tblHRAnalytics[[#This Row],[Attrition]]="Yes",1,0)</f>
        <v>0</v>
      </c>
    </row>
    <row r="102" spans="1:36">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c r="AJ102">
        <f>IF(tblHRAnalytics[[#This Row],[Attrition]]="Yes",1,0)</f>
        <v>1</v>
      </c>
    </row>
    <row r="103" spans="1:36">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c r="AJ103">
        <f>IF(tblHRAnalytics[[#This Row],[Attrition]]="Yes",1,0)</f>
        <v>0</v>
      </c>
    </row>
    <row r="104" spans="1:36">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c r="AJ104">
        <f>IF(tblHRAnalytics[[#This Row],[Attrition]]="Yes",1,0)</f>
        <v>1</v>
      </c>
    </row>
    <row r="105" spans="1:36">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c r="AJ105">
        <f>IF(tblHRAnalytics[[#This Row],[Attrition]]="Yes",1,0)</f>
        <v>0</v>
      </c>
    </row>
    <row r="106" spans="1:36">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c r="AJ106">
        <f>IF(tblHRAnalytics[[#This Row],[Attrition]]="Yes",1,0)</f>
        <v>0</v>
      </c>
    </row>
    <row r="107" spans="1:36">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c r="AJ107">
        <f>IF(tblHRAnalytics[[#This Row],[Attrition]]="Yes",1,0)</f>
        <v>0</v>
      </c>
    </row>
    <row r="108" spans="1:36">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c r="AJ108">
        <f>IF(tblHRAnalytics[[#This Row],[Attrition]]="Yes",1,0)</f>
        <v>0</v>
      </c>
    </row>
    <row r="109" spans="1:36">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c r="AJ109">
        <f>IF(tblHRAnalytics[[#This Row],[Attrition]]="Yes",1,0)</f>
        <v>1</v>
      </c>
    </row>
    <row r="110" spans="1:36">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c r="AJ110">
        <f>IF(tblHRAnalytics[[#This Row],[Attrition]]="Yes",1,0)</f>
        <v>0</v>
      </c>
    </row>
    <row r="111" spans="1:36">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c r="AJ111">
        <f>IF(tblHRAnalytics[[#This Row],[Attrition]]="Yes",1,0)</f>
        <v>0</v>
      </c>
    </row>
    <row r="112" spans="1:36">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c r="AJ112">
        <f>IF(tblHRAnalytics[[#This Row],[Attrition]]="Yes",1,0)</f>
        <v>0</v>
      </c>
    </row>
    <row r="113" spans="1:36">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c r="AJ113">
        <f>IF(tblHRAnalytics[[#This Row],[Attrition]]="Yes",1,0)</f>
        <v>1</v>
      </c>
    </row>
    <row r="114" spans="1:36">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c r="AJ114">
        <f>IF(tblHRAnalytics[[#This Row],[Attrition]]="Yes",1,0)</f>
        <v>0</v>
      </c>
    </row>
    <row r="115" spans="1:36">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c r="AJ115">
        <f>IF(tblHRAnalytics[[#This Row],[Attrition]]="Yes",1,0)</f>
        <v>0</v>
      </c>
    </row>
    <row r="116" spans="1:36">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c r="AJ116">
        <f>IF(tblHRAnalytics[[#This Row],[Attrition]]="Yes",1,0)</f>
        <v>0</v>
      </c>
    </row>
    <row r="117" spans="1:36">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c r="AJ117">
        <f>IF(tblHRAnalytics[[#This Row],[Attrition]]="Yes",1,0)</f>
        <v>0</v>
      </c>
    </row>
    <row r="118" spans="1:36">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c r="AJ118">
        <f>IF(tblHRAnalytics[[#This Row],[Attrition]]="Yes",1,0)</f>
        <v>0</v>
      </c>
    </row>
    <row r="119" spans="1:36">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c r="AJ119">
        <f>IF(tblHRAnalytics[[#This Row],[Attrition]]="Yes",1,0)</f>
        <v>0</v>
      </c>
    </row>
    <row r="120" spans="1:36">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c r="AJ120">
        <f>IF(tblHRAnalytics[[#This Row],[Attrition]]="Yes",1,0)</f>
        <v>0</v>
      </c>
    </row>
    <row r="121" spans="1:36">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c r="AJ121">
        <f>IF(tblHRAnalytics[[#This Row],[Attrition]]="Yes",1,0)</f>
        <v>0</v>
      </c>
    </row>
    <row r="122" spans="1:36">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c r="AJ122">
        <f>IF(tblHRAnalytics[[#This Row],[Attrition]]="Yes",1,0)</f>
        <v>0</v>
      </c>
    </row>
    <row r="123" spans="1:36">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c r="AJ123">
        <f>IF(tblHRAnalytics[[#This Row],[Attrition]]="Yes",1,0)</f>
        <v>0</v>
      </c>
    </row>
    <row r="124" spans="1:36">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c r="AJ124">
        <f>IF(tblHRAnalytics[[#This Row],[Attrition]]="Yes",1,0)</f>
        <v>1</v>
      </c>
    </row>
    <row r="125" spans="1:36">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c r="AJ125">
        <f>IF(tblHRAnalytics[[#This Row],[Attrition]]="Yes",1,0)</f>
        <v>0</v>
      </c>
    </row>
    <row r="126" spans="1:36">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c r="AJ126">
        <f>IF(tblHRAnalytics[[#This Row],[Attrition]]="Yes",1,0)</f>
        <v>1</v>
      </c>
    </row>
    <row r="127" spans="1:36">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c r="AJ127">
        <f>IF(tblHRAnalytics[[#This Row],[Attrition]]="Yes",1,0)</f>
        <v>0</v>
      </c>
    </row>
    <row r="128" spans="1:36">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c r="AJ128">
        <f>IF(tblHRAnalytics[[#This Row],[Attrition]]="Yes",1,0)</f>
        <v>1</v>
      </c>
    </row>
    <row r="129" spans="1:36">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c r="AJ129">
        <f>IF(tblHRAnalytics[[#This Row],[Attrition]]="Yes",1,0)</f>
        <v>1</v>
      </c>
    </row>
    <row r="130" spans="1:36">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c r="AJ130">
        <f>IF(tblHRAnalytics[[#This Row],[Attrition]]="Yes",1,0)</f>
        <v>0</v>
      </c>
    </row>
    <row r="131" spans="1:36">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c r="AJ131">
        <f>IF(tblHRAnalytics[[#This Row],[Attrition]]="Yes",1,0)</f>
        <v>0</v>
      </c>
    </row>
    <row r="132" spans="1:36">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c r="AJ132">
        <f>IF(tblHRAnalytics[[#This Row],[Attrition]]="Yes",1,0)</f>
        <v>0</v>
      </c>
    </row>
    <row r="133" spans="1:36">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c r="AJ133">
        <f>IF(tblHRAnalytics[[#This Row],[Attrition]]="Yes",1,0)</f>
        <v>0</v>
      </c>
    </row>
    <row r="134" spans="1:36">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c r="AJ134">
        <f>IF(tblHRAnalytics[[#This Row],[Attrition]]="Yes",1,0)</f>
        <v>1</v>
      </c>
    </row>
    <row r="135" spans="1:36">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c r="AJ135">
        <f>IF(tblHRAnalytics[[#This Row],[Attrition]]="Yes",1,0)</f>
        <v>0</v>
      </c>
    </row>
    <row r="136" spans="1:36">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c r="AJ136">
        <f>IF(tblHRAnalytics[[#This Row],[Attrition]]="Yes",1,0)</f>
        <v>0</v>
      </c>
    </row>
    <row r="137" spans="1:36">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c r="AJ137">
        <f>IF(tblHRAnalytics[[#This Row],[Attrition]]="Yes",1,0)</f>
        <v>0</v>
      </c>
    </row>
    <row r="138" spans="1:36">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c r="AJ138">
        <f>IF(tblHRAnalytics[[#This Row],[Attrition]]="Yes",1,0)</f>
        <v>1</v>
      </c>
    </row>
    <row r="139" spans="1:36">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c r="AJ139">
        <f>IF(tblHRAnalytics[[#This Row],[Attrition]]="Yes",1,0)</f>
        <v>0</v>
      </c>
    </row>
    <row r="140" spans="1:36">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c r="AJ140">
        <f>IF(tblHRAnalytics[[#This Row],[Attrition]]="Yes",1,0)</f>
        <v>0</v>
      </c>
    </row>
    <row r="141" spans="1:36">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c r="AJ141">
        <f>IF(tblHRAnalytics[[#This Row],[Attrition]]="Yes",1,0)</f>
        <v>0</v>
      </c>
    </row>
    <row r="142" spans="1:36">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c r="AJ142">
        <f>IF(tblHRAnalytics[[#This Row],[Attrition]]="Yes",1,0)</f>
        <v>1</v>
      </c>
    </row>
    <row r="143" spans="1:36">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c r="AJ143">
        <f>IF(tblHRAnalytics[[#This Row],[Attrition]]="Yes",1,0)</f>
        <v>0</v>
      </c>
    </row>
    <row r="144" spans="1:36">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c r="AJ144">
        <f>IF(tblHRAnalytics[[#This Row],[Attrition]]="Yes",1,0)</f>
        <v>0</v>
      </c>
    </row>
    <row r="145" spans="1:36">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c r="AJ145">
        <f>IF(tblHRAnalytics[[#This Row],[Attrition]]="Yes",1,0)</f>
        <v>0</v>
      </c>
    </row>
    <row r="146" spans="1:36">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c r="AJ146">
        <f>IF(tblHRAnalytics[[#This Row],[Attrition]]="Yes",1,0)</f>
        <v>0</v>
      </c>
    </row>
    <row r="147" spans="1:36">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c r="AJ147">
        <f>IF(tblHRAnalytics[[#This Row],[Attrition]]="Yes",1,0)</f>
        <v>0</v>
      </c>
    </row>
    <row r="148" spans="1:36">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c r="AJ148">
        <f>IF(tblHRAnalytics[[#This Row],[Attrition]]="Yes",1,0)</f>
        <v>0</v>
      </c>
    </row>
    <row r="149" spans="1:36">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c r="AJ149">
        <f>IF(tblHRAnalytics[[#This Row],[Attrition]]="Yes",1,0)</f>
        <v>0</v>
      </c>
    </row>
    <row r="150" spans="1:36">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c r="AJ150">
        <f>IF(tblHRAnalytics[[#This Row],[Attrition]]="Yes",1,0)</f>
        <v>0</v>
      </c>
    </row>
    <row r="151" spans="1:36">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c r="AJ151">
        <f>IF(tblHRAnalytics[[#This Row],[Attrition]]="Yes",1,0)</f>
        <v>0</v>
      </c>
    </row>
    <row r="152" spans="1:36">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c r="AJ152">
        <f>IF(tblHRAnalytics[[#This Row],[Attrition]]="Yes",1,0)</f>
        <v>0</v>
      </c>
    </row>
    <row r="153" spans="1:36">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c r="AJ153">
        <f>IF(tblHRAnalytics[[#This Row],[Attrition]]="Yes",1,0)</f>
        <v>0</v>
      </c>
    </row>
    <row r="154" spans="1:36">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c r="AJ154">
        <f>IF(tblHRAnalytics[[#This Row],[Attrition]]="Yes",1,0)</f>
        <v>0</v>
      </c>
    </row>
    <row r="155" spans="1:36">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c r="AJ155">
        <f>IF(tblHRAnalytics[[#This Row],[Attrition]]="Yes",1,0)</f>
        <v>0</v>
      </c>
    </row>
    <row r="156" spans="1:36">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c r="AJ156">
        <f>IF(tblHRAnalytics[[#This Row],[Attrition]]="Yes",1,0)</f>
        <v>0</v>
      </c>
    </row>
    <row r="157" spans="1:36">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c r="AJ157">
        <f>IF(tblHRAnalytics[[#This Row],[Attrition]]="Yes",1,0)</f>
        <v>0</v>
      </c>
    </row>
    <row r="158" spans="1:36">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c r="AJ158">
        <f>IF(tblHRAnalytics[[#This Row],[Attrition]]="Yes",1,0)</f>
        <v>0</v>
      </c>
    </row>
    <row r="159" spans="1:36">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c r="AJ159">
        <f>IF(tblHRAnalytics[[#This Row],[Attrition]]="Yes",1,0)</f>
        <v>0</v>
      </c>
    </row>
    <row r="160" spans="1:36">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c r="AJ160">
        <f>IF(tblHRAnalytics[[#This Row],[Attrition]]="Yes",1,0)</f>
        <v>0</v>
      </c>
    </row>
    <row r="161" spans="1:36">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c r="AJ161">
        <f>IF(tblHRAnalytics[[#This Row],[Attrition]]="Yes",1,0)</f>
        <v>0</v>
      </c>
    </row>
    <row r="162" spans="1:36">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c r="AJ162">
        <f>IF(tblHRAnalytics[[#This Row],[Attrition]]="Yes",1,0)</f>
        <v>0</v>
      </c>
    </row>
    <row r="163" spans="1:36">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c r="AJ163">
        <f>IF(tblHRAnalytics[[#This Row],[Attrition]]="Yes",1,0)</f>
        <v>0</v>
      </c>
    </row>
    <row r="164" spans="1:36">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c r="AJ164">
        <f>IF(tblHRAnalytics[[#This Row],[Attrition]]="Yes",1,0)</f>
        <v>0</v>
      </c>
    </row>
    <row r="165" spans="1:36">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c r="AJ165">
        <f>IF(tblHRAnalytics[[#This Row],[Attrition]]="Yes",1,0)</f>
        <v>0</v>
      </c>
    </row>
    <row r="166" spans="1:36">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c r="AJ166">
        <f>IF(tblHRAnalytics[[#This Row],[Attrition]]="Yes",1,0)</f>
        <v>0</v>
      </c>
    </row>
    <row r="167" spans="1:36">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c r="AJ167">
        <f>IF(tblHRAnalytics[[#This Row],[Attrition]]="Yes",1,0)</f>
        <v>0</v>
      </c>
    </row>
    <row r="168" spans="1:36">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c r="AJ168">
        <f>IF(tblHRAnalytics[[#This Row],[Attrition]]="Yes",1,0)</f>
        <v>0</v>
      </c>
    </row>
    <row r="169" spans="1:36">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c r="AJ169">
        <f>IF(tblHRAnalytics[[#This Row],[Attrition]]="Yes",1,0)</f>
        <v>0</v>
      </c>
    </row>
    <row r="170" spans="1:36">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c r="AJ170">
        <f>IF(tblHRAnalytics[[#This Row],[Attrition]]="Yes",1,0)</f>
        <v>0</v>
      </c>
    </row>
    <row r="171" spans="1:36">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c r="AJ171">
        <f>IF(tblHRAnalytics[[#This Row],[Attrition]]="Yes",1,0)</f>
        <v>0</v>
      </c>
    </row>
    <row r="172" spans="1:36">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c r="AJ172">
        <f>IF(tblHRAnalytics[[#This Row],[Attrition]]="Yes",1,0)</f>
        <v>0</v>
      </c>
    </row>
    <row r="173" spans="1:36">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c r="AJ173">
        <f>IF(tblHRAnalytics[[#This Row],[Attrition]]="Yes",1,0)</f>
        <v>1</v>
      </c>
    </row>
    <row r="174" spans="1:36">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c r="AJ174">
        <f>IF(tblHRAnalytics[[#This Row],[Attrition]]="Yes",1,0)</f>
        <v>0</v>
      </c>
    </row>
    <row r="175" spans="1:36">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c r="AJ175">
        <f>IF(tblHRAnalytics[[#This Row],[Attrition]]="Yes",1,0)</f>
        <v>0</v>
      </c>
    </row>
    <row r="176" spans="1:36">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c r="AJ176">
        <f>IF(tblHRAnalytics[[#This Row],[Attrition]]="Yes",1,0)</f>
        <v>0</v>
      </c>
    </row>
    <row r="177" spans="1:36">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c r="AJ177">
        <f>IF(tblHRAnalytics[[#This Row],[Attrition]]="Yes",1,0)</f>
        <v>0</v>
      </c>
    </row>
    <row r="178" spans="1:36">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c r="AJ178">
        <f>IF(tblHRAnalytics[[#This Row],[Attrition]]="Yes",1,0)</f>
        <v>0</v>
      </c>
    </row>
    <row r="179" spans="1:36">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c r="AJ179">
        <f>IF(tblHRAnalytics[[#This Row],[Attrition]]="Yes",1,0)</f>
        <v>1</v>
      </c>
    </row>
    <row r="180" spans="1:36">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c r="AJ180">
        <f>IF(tblHRAnalytics[[#This Row],[Attrition]]="Yes",1,0)</f>
        <v>0</v>
      </c>
    </row>
    <row r="181" spans="1:36">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c r="AJ181">
        <f>IF(tblHRAnalytics[[#This Row],[Attrition]]="Yes",1,0)</f>
        <v>0</v>
      </c>
    </row>
    <row r="182" spans="1:36">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c r="AJ182">
        <f>IF(tblHRAnalytics[[#This Row],[Attrition]]="Yes",1,0)</f>
        <v>0</v>
      </c>
    </row>
    <row r="183" spans="1:36">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c r="AJ183">
        <f>IF(tblHRAnalytics[[#This Row],[Attrition]]="Yes",1,0)</f>
        <v>0</v>
      </c>
    </row>
    <row r="184" spans="1:36">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c r="AJ184">
        <f>IF(tblHRAnalytics[[#This Row],[Attrition]]="Yes",1,0)</f>
        <v>1</v>
      </c>
    </row>
    <row r="185" spans="1:36">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c r="AJ185">
        <f>IF(tblHRAnalytics[[#This Row],[Attrition]]="Yes",1,0)</f>
        <v>0</v>
      </c>
    </row>
    <row r="186" spans="1:36">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c r="AJ186">
        <f>IF(tblHRAnalytics[[#This Row],[Attrition]]="Yes",1,0)</f>
        <v>0</v>
      </c>
    </row>
    <row r="187" spans="1:36">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c r="AJ187">
        <f>IF(tblHRAnalytics[[#This Row],[Attrition]]="Yes",1,0)</f>
        <v>0</v>
      </c>
    </row>
    <row r="188" spans="1:36">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c r="AJ188">
        <f>IF(tblHRAnalytics[[#This Row],[Attrition]]="Yes",1,0)</f>
        <v>0</v>
      </c>
    </row>
    <row r="189" spans="1:36">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c r="AJ189">
        <f>IF(tblHRAnalytics[[#This Row],[Attrition]]="Yes",1,0)</f>
        <v>0</v>
      </c>
    </row>
    <row r="190" spans="1:36">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c r="AJ190">
        <f>IF(tblHRAnalytics[[#This Row],[Attrition]]="Yes",1,0)</f>
        <v>0</v>
      </c>
    </row>
    <row r="191" spans="1:36">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c r="AJ191">
        <f>IF(tblHRAnalytics[[#This Row],[Attrition]]="Yes",1,0)</f>
        <v>0</v>
      </c>
    </row>
    <row r="192" spans="1:36">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c r="AJ192">
        <f>IF(tblHRAnalytics[[#This Row],[Attrition]]="Yes",1,0)</f>
        <v>0</v>
      </c>
    </row>
    <row r="193" spans="1:36">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c r="AJ193">
        <f>IF(tblHRAnalytics[[#This Row],[Attrition]]="Yes",1,0)</f>
        <v>0</v>
      </c>
    </row>
    <row r="194" spans="1:36">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c r="AJ194">
        <f>IF(tblHRAnalytics[[#This Row],[Attrition]]="Yes",1,0)</f>
        <v>1</v>
      </c>
    </row>
    <row r="195" spans="1:36">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c r="AJ195">
        <f>IF(tblHRAnalytics[[#This Row],[Attrition]]="Yes",1,0)</f>
        <v>0</v>
      </c>
    </row>
    <row r="196" spans="1:36">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c r="AJ196">
        <f>IF(tblHRAnalytics[[#This Row],[Attrition]]="Yes",1,0)</f>
        <v>0</v>
      </c>
    </row>
    <row r="197" spans="1:36">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c r="AJ197">
        <f>IF(tblHRAnalytics[[#This Row],[Attrition]]="Yes",1,0)</f>
        <v>0</v>
      </c>
    </row>
    <row r="198" spans="1:36">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c r="AJ198">
        <f>IF(tblHRAnalytics[[#This Row],[Attrition]]="Yes",1,0)</f>
        <v>0</v>
      </c>
    </row>
    <row r="199" spans="1:36">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c r="AJ199">
        <f>IF(tblHRAnalytics[[#This Row],[Attrition]]="Yes",1,0)</f>
        <v>0</v>
      </c>
    </row>
    <row r="200" spans="1:36">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c r="AJ200">
        <f>IF(tblHRAnalytics[[#This Row],[Attrition]]="Yes",1,0)</f>
        <v>0</v>
      </c>
    </row>
    <row r="201" spans="1:36">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c r="AJ201">
        <f>IF(tblHRAnalytics[[#This Row],[Attrition]]="Yes",1,0)</f>
        <v>0</v>
      </c>
    </row>
    <row r="202" spans="1:36">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c r="AJ202">
        <f>IF(tblHRAnalytics[[#This Row],[Attrition]]="Yes",1,0)</f>
        <v>0</v>
      </c>
    </row>
    <row r="203" spans="1:36">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c r="AJ203">
        <f>IF(tblHRAnalytics[[#This Row],[Attrition]]="Yes",1,0)</f>
        <v>0</v>
      </c>
    </row>
    <row r="204" spans="1:36">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c r="AJ204">
        <f>IF(tblHRAnalytics[[#This Row],[Attrition]]="Yes",1,0)</f>
        <v>0</v>
      </c>
    </row>
    <row r="205" spans="1:36">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c r="AJ205">
        <f>IF(tblHRAnalytics[[#This Row],[Attrition]]="Yes",1,0)</f>
        <v>0</v>
      </c>
    </row>
    <row r="206" spans="1:36">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c r="AJ206">
        <f>IF(tblHRAnalytics[[#This Row],[Attrition]]="Yes",1,0)</f>
        <v>1</v>
      </c>
    </row>
    <row r="207" spans="1:36">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c r="AJ207">
        <f>IF(tblHRAnalytics[[#This Row],[Attrition]]="Yes",1,0)</f>
        <v>1</v>
      </c>
    </row>
    <row r="208" spans="1:36">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c r="AJ208">
        <f>IF(tblHRAnalytics[[#This Row],[Attrition]]="Yes",1,0)</f>
        <v>0</v>
      </c>
    </row>
    <row r="209" spans="1:36">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c r="AJ209">
        <f>IF(tblHRAnalytics[[#This Row],[Attrition]]="Yes",1,0)</f>
        <v>0</v>
      </c>
    </row>
    <row r="210" spans="1:36">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c r="AJ210">
        <f>IF(tblHRAnalytics[[#This Row],[Attrition]]="Yes",1,0)</f>
        <v>0</v>
      </c>
    </row>
    <row r="211" spans="1:36">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c r="AJ211">
        <f>IF(tblHRAnalytics[[#This Row],[Attrition]]="Yes",1,0)</f>
        <v>0</v>
      </c>
    </row>
    <row r="212" spans="1:36">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c r="AJ212">
        <f>IF(tblHRAnalytics[[#This Row],[Attrition]]="Yes",1,0)</f>
        <v>1</v>
      </c>
    </row>
    <row r="213" spans="1:36">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c r="AJ213">
        <f>IF(tblHRAnalytics[[#This Row],[Attrition]]="Yes",1,0)</f>
        <v>0</v>
      </c>
    </row>
    <row r="214" spans="1:36">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c r="AJ214">
        <f>IF(tblHRAnalytics[[#This Row],[Attrition]]="Yes",1,0)</f>
        <v>0</v>
      </c>
    </row>
    <row r="215" spans="1:36">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c r="AJ215">
        <f>IF(tblHRAnalytics[[#This Row],[Attrition]]="Yes",1,0)</f>
        <v>0</v>
      </c>
    </row>
    <row r="216" spans="1:36">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c r="AJ216">
        <f>IF(tblHRAnalytics[[#This Row],[Attrition]]="Yes",1,0)</f>
        <v>1</v>
      </c>
    </row>
    <row r="217" spans="1:36">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c r="AJ217">
        <f>IF(tblHRAnalytics[[#This Row],[Attrition]]="Yes",1,0)</f>
        <v>0</v>
      </c>
    </row>
    <row r="218" spans="1:36">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c r="AJ218">
        <f>IF(tblHRAnalytics[[#This Row],[Attrition]]="Yes",1,0)</f>
        <v>1</v>
      </c>
    </row>
    <row r="219" spans="1:36">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c r="AJ219">
        <f>IF(tblHRAnalytics[[#This Row],[Attrition]]="Yes",1,0)</f>
        <v>1</v>
      </c>
    </row>
    <row r="220" spans="1:36">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c r="AJ220">
        <f>IF(tblHRAnalytics[[#This Row],[Attrition]]="Yes",1,0)</f>
        <v>0</v>
      </c>
    </row>
    <row r="221" spans="1:36">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c r="AJ221">
        <f>IF(tblHRAnalytics[[#This Row],[Attrition]]="Yes",1,0)</f>
        <v>0</v>
      </c>
    </row>
    <row r="222" spans="1:36">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c r="AJ222">
        <f>IF(tblHRAnalytics[[#This Row],[Attrition]]="Yes",1,0)</f>
        <v>0</v>
      </c>
    </row>
    <row r="223" spans="1:36">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c r="AJ223">
        <f>IF(tblHRAnalytics[[#This Row],[Attrition]]="Yes",1,0)</f>
        <v>0</v>
      </c>
    </row>
    <row r="224" spans="1:36">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c r="AJ224">
        <f>IF(tblHRAnalytics[[#This Row],[Attrition]]="Yes",1,0)</f>
        <v>0</v>
      </c>
    </row>
    <row r="225" spans="1:36">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c r="AJ225">
        <f>IF(tblHRAnalytics[[#This Row],[Attrition]]="Yes",1,0)</f>
        <v>0</v>
      </c>
    </row>
    <row r="226" spans="1:36">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c r="AJ226">
        <f>IF(tblHRAnalytics[[#This Row],[Attrition]]="Yes",1,0)</f>
        <v>0</v>
      </c>
    </row>
    <row r="227" spans="1:36">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c r="AJ227">
        <f>IF(tblHRAnalytics[[#This Row],[Attrition]]="Yes",1,0)</f>
        <v>0</v>
      </c>
    </row>
    <row r="228" spans="1:36">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c r="AJ228">
        <f>IF(tblHRAnalytics[[#This Row],[Attrition]]="Yes",1,0)</f>
        <v>0</v>
      </c>
    </row>
    <row r="229" spans="1:36">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c r="AJ229">
        <f>IF(tblHRAnalytics[[#This Row],[Attrition]]="Yes",1,0)</f>
        <v>0</v>
      </c>
    </row>
    <row r="230" spans="1:36">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c r="AJ230">
        <f>IF(tblHRAnalytics[[#This Row],[Attrition]]="Yes",1,0)</f>
        <v>0</v>
      </c>
    </row>
    <row r="231" spans="1:36">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c r="AJ231">
        <f>IF(tblHRAnalytics[[#This Row],[Attrition]]="Yes",1,0)</f>
        <v>1</v>
      </c>
    </row>
    <row r="232" spans="1:36">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c r="AJ232">
        <f>IF(tblHRAnalytics[[#This Row],[Attrition]]="Yes",1,0)</f>
        <v>0</v>
      </c>
    </row>
    <row r="233" spans="1:36">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c r="AJ233">
        <f>IF(tblHRAnalytics[[#This Row],[Attrition]]="Yes",1,0)</f>
        <v>0</v>
      </c>
    </row>
    <row r="234" spans="1:36">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c r="AJ234">
        <f>IF(tblHRAnalytics[[#This Row],[Attrition]]="Yes",1,0)</f>
        <v>0</v>
      </c>
    </row>
    <row r="235" spans="1:36">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c r="AJ235">
        <f>IF(tblHRAnalytics[[#This Row],[Attrition]]="Yes",1,0)</f>
        <v>0</v>
      </c>
    </row>
    <row r="236" spans="1:36">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c r="AJ236">
        <f>IF(tblHRAnalytics[[#This Row],[Attrition]]="Yes",1,0)</f>
        <v>1</v>
      </c>
    </row>
    <row r="237" spans="1:36">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c r="AJ237">
        <f>IF(tblHRAnalytics[[#This Row],[Attrition]]="Yes",1,0)</f>
        <v>0</v>
      </c>
    </row>
    <row r="238" spans="1:36">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c r="AJ238">
        <f>IF(tblHRAnalytics[[#This Row],[Attrition]]="Yes",1,0)</f>
        <v>1</v>
      </c>
    </row>
    <row r="239" spans="1:36">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c r="AJ239">
        <f>IF(tblHRAnalytics[[#This Row],[Attrition]]="Yes",1,0)</f>
        <v>0</v>
      </c>
    </row>
    <row r="240" spans="1:36">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c r="AJ240">
        <f>IF(tblHRAnalytics[[#This Row],[Attrition]]="Yes",1,0)</f>
        <v>0</v>
      </c>
    </row>
    <row r="241" spans="1:36">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c r="AJ241">
        <f>IF(tblHRAnalytics[[#This Row],[Attrition]]="Yes",1,0)</f>
        <v>1</v>
      </c>
    </row>
    <row r="242" spans="1:36">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c r="AJ242">
        <f>IF(tblHRAnalytics[[#This Row],[Attrition]]="Yes",1,0)</f>
        <v>0</v>
      </c>
    </row>
    <row r="243" spans="1:36">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c r="AJ243">
        <f>IF(tblHRAnalytics[[#This Row],[Attrition]]="Yes",1,0)</f>
        <v>0</v>
      </c>
    </row>
    <row r="244" spans="1:36">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c r="AJ244">
        <f>IF(tblHRAnalytics[[#This Row],[Attrition]]="Yes",1,0)</f>
        <v>0</v>
      </c>
    </row>
    <row r="245" spans="1:36">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c r="AJ245">
        <f>IF(tblHRAnalytics[[#This Row],[Attrition]]="Yes",1,0)</f>
        <v>0</v>
      </c>
    </row>
    <row r="246" spans="1:36">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c r="AJ246">
        <f>IF(tblHRAnalytics[[#This Row],[Attrition]]="Yes",1,0)</f>
        <v>0</v>
      </c>
    </row>
    <row r="247" spans="1:36">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c r="AJ247">
        <f>IF(tblHRAnalytics[[#This Row],[Attrition]]="Yes",1,0)</f>
        <v>0</v>
      </c>
    </row>
    <row r="248" spans="1:36">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c r="AJ248">
        <f>IF(tblHRAnalytics[[#This Row],[Attrition]]="Yes",1,0)</f>
        <v>0</v>
      </c>
    </row>
    <row r="249" spans="1:36">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c r="AJ249">
        <f>IF(tblHRAnalytics[[#This Row],[Attrition]]="Yes",1,0)</f>
        <v>0</v>
      </c>
    </row>
    <row r="250" spans="1:36">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c r="AJ250">
        <f>IF(tblHRAnalytics[[#This Row],[Attrition]]="Yes",1,0)</f>
        <v>0</v>
      </c>
    </row>
    <row r="251" spans="1:36">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c r="AJ251">
        <f>IF(tblHRAnalytics[[#This Row],[Attrition]]="Yes",1,0)</f>
        <v>0</v>
      </c>
    </row>
    <row r="252" spans="1:36">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c r="AJ252">
        <f>IF(tblHRAnalytics[[#This Row],[Attrition]]="Yes",1,0)</f>
        <v>1</v>
      </c>
    </row>
    <row r="253" spans="1:36">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c r="AJ253">
        <f>IF(tblHRAnalytics[[#This Row],[Attrition]]="Yes",1,0)</f>
        <v>0</v>
      </c>
    </row>
    <row r="254" spans="1:36">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c r="AJ254">
        <f>IF(tblHRAnalytics[[#This Row],[Attrition]]="Yes",1,0)</f>
        <v>0</v>
      </c>
    </row>
    <row r="255" spans="1:36">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c r="AJ255">
        <f>IF(tblHRAnalytics[[#This Row],[Attrition]]="Yes",1,0)</f>
        <v>0</v>
      </c>
    </row>
    <row r="256" spans="1:36">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c r="AJ256">
        <f>IF(tblHRAnalytics[[#This Row],[Attrition]]="Yes",1,0)</f>
        <v>0</v>
      </c>
    </row>
    <row r="257" spans="1:36">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c r="AJ257">
        <f>IF(tblHRAnalytics[[#This Row],[Attrition]]="Yes",1,0)</f>
        <v>0</v>
      </c>
    </row>
    <row r="258" spans="1:36">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c r="AJ258">
        <f>IF(tblHRAnalytics[[#This Row],[Attrition]]="Yes",1,0)</f>
        <v>0</v>
      </c>
    </row>
    <row r="259" spans="1:36">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c r="AJ259">
        <f>IF(tblHRAnalytics[[#This Row],[Attrition]]="Yes",1,0)</f>
        <v>0</v>
      </c>
    </row>
    <row r="260" spans="1:36">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c r="AJ260">
        <f>IF(tblHRAnalytics[[#This Row],[Attrition]]="Yes",1,0)</f>
        <v>0</v>
      </c>
    </row>
    <row r="261" spans="1:36">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c r="AJ261">
        <f>IF(tblHRAnalytics[[#This Row],[Attrition]]="Yes",1,0)</f>
        <v>1</v>
      </c>
    </row>
    <row r="262" spans="1:36">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c r="AJ262">
        <f>IF(tblHRAnalytics[[#This Row],[Attrition]]="Yes",1,0)</f>
        <v>0</v>
      </c>
    </row>
    <row r="263" spans="1:36">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c r="AJ263">
        <f>IF(tblHRAnalytics[[#This Row],[Attrition]]="Yes",1,0)</f>
        <v>0</v>
      </c>
    </row>
    <row r="264" spans="1:36">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c r="AJ264">
        <f>IF(tblHRAnalytics[[#This Row],[Attrition]]="Yes",1,0)</f>
        <v>0</v>
      </c>
    </row>
    <row r="265" spans="1:36">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c r="AJ265">
        <f>IF(tblHRAnalytics[[#This Row],[Attrition]]="Yes",1,0)</f>
        <v>0</v>
      </c>
    </row>
    <row r="266" spans="1:36">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c r="AJ266">
        <f>IF(tblHRAnalytics[[#This Row],[Attrition]]="Yes",1,0)</f>
        <v>1</v>
      </c>
    </row>
    <row r="267" spans="1:36">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c r="AJ267">
        <f>IF(tblHRAnalytics[[#This Row],[Attrition]]="Yes",1,0)</f>
        <v>0</v>
      </c>
    </row>
    <row r="268" spans="1:36">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c r="AJ268">
        <f>IF(tblHRAnalytics[[#This Row],[Attrition]]="Yes",1,0)</f>
        <v>0</v>
      </c>
    </row>
    <row r="269" spans="1:36">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c r="AJ269">
        <f>IF(tblHRAnalytics[[#This Row],[Attrition]]="Yes",1,0)</f>
        <v>0</v>
      </c>
    </row>
    <row r="270" spans="1:36">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c r="AJ270">
        <f>IF(tblHRAnalytics[[#This Row],[Attrition]]="Yes",1,0)</f>
        <v>0</v>
      </c>
    </row>
    <row r="271" spans="1:36">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c r="AJ271">
        <f>IF(tblHRAnalytics[[#This Row],[Attrition]]="Yes",1,0)</f>
        <v>0</v>
      </c>
    </row>
    <row r="272" spans="1:36">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c r="AJ272">
        <f>IF(tblHRAnalytics[[#This Row],[Attrition]]="Yes",1,0)</f>
        <v>0</v>
      </c>
    </row>
    <row r="273" spans="1:36">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c r="AJ273">
        <f>IF(tblHRAnalytics[[#This Row],[Attrition]]="Yes",1,0)</f>
        <v>1</v>
      </c>
    </row>
    <row r="274" spans="1:36">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c r="AJ274">
        <f>IF(tblHRAnalytics[[#This Row],[Attrition]]="Yes",1,0)</f>
        <v>0</v>
      </c>
    </row>
    <row r="275" spans="1:36">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c r="AJ275">
        <f>IF(tblHRAnalytics[[#This Row],[Attrition]]="Yes",1,0)</f>
        <v>0</v>
      </c>
    </row>
    <row r="276" spans="1:36">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c r="AJ276">
        <f>IF(tblHRAnalytics[[#This Row],[Attrition]]="Yes",1,0)</f>
        <v>0</v>
      </c>
    </row>
    <row r="277" spans="1:36">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c r="AJ277">
        <f>IF(tblHRAnalytics[[#This Row],[Attrition]]="Yes",1,0)</f>
        <v>0</v>
      </c>
    </row>
    <row r="278" spans="1:36">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c r="AJ278">
        <f>IF(tblHRAnalytics[[#This Row],[Attrition]]="Yes",1,0)</f>
        <v>0</v>
      </c>
    </row>
    <row r="279" spans="1:36">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c r="AJ279">
        <f>IF(tblHRAnalytics[[#This Row],[Attrition]]="Yes",1,0)</f>
        <v>0</v>
      </c>
    </row>
    <row r="280" spans="1:36">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c r="AJ280">
        <f>IF(tblHRAnalytics[[#This Row],[Attrition]]="Yes",1,0)</f>
        <v>0</v>
      </c>
    </row>
    <row r="281" spans="1:36">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c r="AJ281">
        <f>IF(tblHRAnalytics[[#This Row],[Attrition]]="Yes",1,0)</f>
        <v>0</v>
      </c>
    </row>
    <row r="282" spans="1:36">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c r="AJ282">
        <f>IF(tblHRAnalytics[[#This Row],[Attrition]]="Yes",1,0)</f>
        <v>0</v>
      </c>
    </row>
    <row r="283" spans="1:36">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c r="AJ283">
        <f>IF(tblHRAnalytics[[#This Row],[Attrition]]="Yes",1,0)</f>
        <v>0</v>
      </c>
    </row>
    <row r="284" spans="1:36">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c r="AJ284">
        <f>IF(tblHRAnalytics[[#This Row],[Attrition]]="Yes",1,0)</f>
        <v>0</v>
      </c>
    </row>
    <row r="285" spans="1:36">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c r="AJ285">
        <f>IF(tblHRAnalytics[[#This Row],[Attrition]]="Yes",1,0)</f>
        <v>0</v>
      </c>
    </row>
    <row r="286" spans="1:36">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c r="AJ286">
        <f>IF(tblHRAnalytics[[#This Row],[Attrition]]="Yes",1,0)</f>
        <v>0</v>
      </c>
    </row>
    <row r="287" spans="1:36">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c r="AJ287">
        <f>IF(tblHRAnalytics[[#This Row],[Attrition]]="Yes",1,0)</f>
        <v>0</v>
      </c>
    </row>
    <row r="288" spans="1:36">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c r="AJ288">
        <f>IF(tblHRAnalytics[[#This Row],[Attrition]]="Yes",1,0)</f>
        <v>1</v>
      </c>
    </row>
    <row r="289" spans="1:36">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c r="AJ289">
        <f>IF(tblHRAnalytics[[#This Row],[Attrition]]="Yes",1,0)</f>
        <v>0</v>
      </c>
    </row>
    <row r="290" spans="1:36">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c r="AJ290">
        <f>IF(tblHRAnalytics[[#This Row],[Attrition]]="Yes",1,0)</f>
        <v>1</v>
      </c>
    </row>
    <row r="291" spans="1:36">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c r="AJ291">
        <f>IF(tblHRAnalytics[[#This Row],[Attrition]]="Yes",1,0)</f>
        <v>0</v>
      </c>
    </row>
    <row r="292" spans="1:36">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c r="AJ292">
        <f>IF(tblHRAnalytics[[#This Row],[Attrition]]="Yes",1,0)</f>
        <v>0</v>
      </c>
    </row>
    <row r="293" spans="1:36">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c r="AJ293">
        <f>IF(tblHRAnalytics[[#This Row],[Attrition]]="Yes",1,0)</f>
        <v>0</v>
      </c>
    </row>
    <row r="294" spans="1:36">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c r="AJ294">
        <f>IF(tblHRAnalytics[[#This Row],[Attrition]]="Yes",1,0)</f>
        <v>0</v>
      </c>
    </row>
    <row r="295" spans="1:36">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c r="AJ295">
        <f>IF(tblHRAnalytics[[#This Row],[Attrition]]="Yes",1,0)</f>
        <v>1</v>
      </c>
    </row>
    <row r="296" spans="1:36">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c r="AJ296">
        <f>IF(tblHRAnalytics[[#This Row],[Attrition]]="Yes",1,0)</f>
        <v>0</v>
      </c>
    </row>
    <row r="297" spans="1:36">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c r="AJ297">
        <f>IF(tblHRAnalytics[[#This Row],[Attrition]]="Yes",1,0)</f>
        <v>0</v>
      </c>
    </row>
    <row r="298" spans="1:36">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c r="AJ298">
        <f>IF(tblHRAnalytics[[#This Row],[Attrition]]="Yes",1,0)</f>
        <v>1</v>
      </c>
    </row>
    <row r="299" spans="1:36">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c r="AJ299">
        <f>IF(tblHRAnalytics[[#This Row],[Attrition]]="Yes",1,0)</f>
        <v>0</v>
      </c>
    </row>
    <row r="300" spans="1:36">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c r="AJ300">
        <f>IF(tblHRAnalytics[[#This Row],[Attrition]]="Yes",1,0)</f>
        <v>0</v>
      </c>
    </row>
    <row r="301" spans="1:36">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c r="AJ301">
        <f>IF(tblHRAnalytics[[#This Row],[Attrition]]="Yes",1,0)</f>
        <v>0</v>
      </c>
    </row>
    <row r="302" spans="1:36">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c r="AJ302">
        <f>IF(tblHRAnalytics[[#This Row],[Attrition]]="Yes",1,0)</f>
        <v>0</v>
      </c>
    </row>
    <row r="303" spans="1:36">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c r="AJ303">
        <f>IF(tblHRAnalytics[[#This Row],[Attrition]]="Yes",1,0)</f>
        <v>0</v>
      </c>
    </row>
    <row r="304" spans="1:36">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c r="AJ304">
        <f>IF(tblHRAnalytics[[#This Row],[Attrition]]="Yes",1,0)</f>
        <v>0</v>
      </c>
    </row>
    <row r="305" spans="1:36">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c r="AJ305">
        <f>IF(tblHRAnalytics[[#This Row],[Attrition]]="Yes",1,0)</f>
        <v>0</v>
      </c>
    </row>
    <row r="306" spans="1:36">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c r="AJ306">
        <f>IF(tblHRAnalytics[[#This Row],[Attrition]]="Yes",1,0)</f>
        <v>0</v>
      </c>
    </row>
    <row r="307" spans="1:36">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c r="AJ307">
        <f>IF(tblHRAnalytics[[#This Row],[Attrition]]="Yes",1,0)</f>
        <v>0</v>
      </c>
    </row>
    <row r="308" spans="1:36">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c r="AJ308">
        <f>IF(tblHRAnalytics[[#This Row],[Attrition]]="Yes",1,0)</f>
        <v>0</v>
      </c>
    </row>
    <row r="309" spans="1:36">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c r="AJ309">
        <f>IF(tblHRAnalytics[[#This Row],[Attrition]]="Yes",1,0)</f>
        <v>0</v>
      </c>
    </row>
    <row r="310" spans="1:36">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c r="AJ310">
        <f>IF(tblHRAnalytics[[#This Row],[Attrition]]="Yes",1,0)</f>
        <v>0</v>
      </c>
    </row>
    <row r="311" spans="1:36">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c r="AJ311">
        <f>IF(tblHRAnalytics[[#This Row],[Attrition]]="Yes",1,0)</f>
        <v>0</v>
      </c>
    </row>
    <row r="312" spans="1:36">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c r="AJ312">
        <f>IF(tblHRAnalytics[[#This Row],[Attrition]]="Yes",1,0)</f>
        <v>0</v>
      </c>
    </row>
    <row r="313" spans="1:36">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c r="AJ313">
        <f>IF(tblHRAnalytics[[#This Row],[Attrition]]="Yes",1,0)</f>
        <v>0</v>
      </c>
    </row>
    <row r="314" spans="1:36">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c r="AJ314">
        <f>IF(tblHRAnalytics[[#This Row],[Attrition]]="Yes",1,0)</f>
        <v>0</v>
      </c>
    </row>
    <row r="315" spans="1:36">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c r="AJ315">
        <f>IF(tblHRAnalytics[[#This Row],[Attrition]]="Yes",1,0)</f>
        <v>0</v>
      </c>
    </row>
    <row r="316" spans="1:36">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c r="AJ316">
        <f>IF(tblHRAnalytics[[#This Row],[Attrition]]="Yes",1,0)</f>
        <v>0</v>
      </c>
    </row>
    <row r="317" spans="1:36">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c r="AJ317">
        <f>IF(tblHRAnalytics[[#This Row],[Attrition]]="Yes",1,0)</f>
        <v>0</v>
      </c>
    </row>
    <row r="318" spans="1:36">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c r="AJ318">
        <f>IF(tblHRAnalytics[[#This Row],[Attrition]]="Yes",1,0)</f>
        <v>0</v>
      </c>
    </row>
    <row r="319" spans="1:36">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c r="AJ319">
        <f>IF(tblHRAnalytics[[#This Row],[Attrition]]="Yes",1,0)</f>
        <v>1</v>
      </c>
    </row>
    <row r="320" spans="1:36">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c r="AJ320">
        <f>IF(tblHRAnalytics[[#This Row],[Attrition]]="Yes",1,0)</f>
        <v>0</v>
      </c>
    </row>
    <row r="321" spans="1:36">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c r="AJ321">
        <f>IF(tblHRAnalytics[[#This Row],[Attrition]]="Yes",1,0)</f>
        <v>0</v>
      </c>
    </row>
    <row r="322" spans="1:36">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c r="AJ322">
        <f>IF(tblHRAnalytics[[#This Row],[Attrition]]="Yes",1,0)</f>
        <v>0</v>
      </c>
    </row>
    <row r="323" spans="1:36">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c r="AJ323">
        <f>IF(tblHRAnalytics[[#This Row],[Attrition]]="Yes",1,0)</f>
        <v>0</v>
      </c>
    </row>
    <row r="324" spans="1:36">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c r="AJ324">
        <f>IF(tblHRAnalytics[[#This Row],[Attrition]]="Yes",1,0)</f>
        <v>0</v>
      </c>
    </row>
    <row r="325" spans="1:36">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c r="AJ325">
        <f>IF(tblHRAnalytics[[#This Row],[Attrition]]="Yes",1,0)</f>
        <v>1</v>
      </c>
    </row>
    <row r="326" spans="1:36">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c r="AJ326">
        <f>IF(tblHRAnalytics[[#This Row],[Attrition]]="Yes",1,0)</f>
        <v>0</v>
      </c>
    </row>
    <row r="327" spans="1:36">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c r="AJ327">
        <f>IF(tblHRAnalytics[[#This Row],[Attrition]]="Yes",1,0)</f>
        <v>0</v>
      </c>
    </row>
    <row r="328" spans="1:36">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c r="AJ328">
        <f>IF(tblHRAnalytics[[#This Row],[Attrition]]="Yes",1,0)</f>
        <v>0</v>
      </c>
    </row>
    <row r="329" spans="1:36">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c r="AJ329">
        <f>IF(tblHRAnalytics[[#This Row],[Attrition]]="Yes",1,0)</f>
        <v>1</v>
      </c>
    </row>
    <row r="330" spans="1:36">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c r="AJ330">
        <f>IF(tblHRAnalytics[[#This Row],[Attrition]]="Yes",1,0)</f>
        <v>0</v>
      </c>
    </row>
    <row r="331" spans="1:36">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c r="AJ331">
        <f>IF(tblHRAnalytics[[#This Row],[Attrition]]="Yes",1,0)</f>
        <v>0</v>
      </c>
    </row>
    <row r="332" spans="1:36">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c r="AJ332">
        <f>IF(tblHRAnalytics[[#This Row],[Attrition]]="Yes",1,0)</f>
        <v>0</v>
      </c>
    </row>
    <row r="333" spans="1:36">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c r="AJ333">
        <f>IF(tblHRAnalytics[[#This Row],[Attrition]]="Yes",1,0)</f>
        <v>0</v>
      </c>
    </row>
    <row r="334" spans="1:36">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c r="AJ334">
        <f>IF(tblHRAnalytics[[#This Row],[Attrition]]="Yes",1,0)</f>
        <v>0</v>
      </c>
    </row>
    <row r="335" spans="1:36">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c r="AJ335">
        <f>IF(tblHRAnalytics[[#This Row],[Attrition]]="Yes",1,0)</f>
        <v>0</v>
      </c>
    </row>
    <row r="336" spans="1:36">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c r="AJ336">
        <f>IF(tblHRAnalytics[[#This Row],[Attrition]]="Yes",1,0)</f>
        <v>0</v>
      </c>
    </row>
    <row r="337" spans="1:36">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c r="AJ337">
        <f>IF(tblHRAnalytics[[#This Row],[Attrition]]="Yes",1,0)</f>
        <v>0</v>
      </c>
    </row>
    <row r="338" spans="1:36">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c r="AJ338">
        <f>IF(tblHRAnalytics[[#This Row],[Attrition]]="Yes",1,0)</f>
        <v>1</v>
      </c>
    </row>
    <row r="339" spans="1:36">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c r="AJ339">
        <f>IF(tblHRAnalytics[[#This Row],[Attrition]]="Yes",1,0)</f>
        <v>0</v>
      </c>
    </row>
    <row r="340" spans="1:36">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c r="AJ340">
        <f>IF(tblHRAnalytics[[#This Row],[Attrition]]="Yes",1,0)</f>
        <v>0</v>
      </c>
    </row>
    <row r="341" spans="1:36">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c r="AJ341">
        <f>IF(tblHRAnalytics[[#This Row],[Attrition]]="Yes",1,0)</f>
        <v>0</v>
      </c>
    </row>
    <row r="342" spans="1:36">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c r="AJ342">
        <f>IF(tblHRAnalytics[[#This Row],[Attrition]]="Yes",1,0)</f>
        <v>0</v>
      </c>
    </row>
    <row r="343" spans="1:36">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c r="AJ343">
        <f>IF(tblHRAnalytics[[#This Row],[Attrition]]="Yes",1,0)</f>
        <v>0</v>
      </c>
    </row>
    <row r="344" spans="1:36">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c r="AJ344">
        <f>IF(tblHRAnalytics[[#This Row],[Attrition]]="Yes",1,0)</f>
        <v>0</v>
      </c>
    </row>
    <row r="345" spans="1:36">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c r="AJ345">
        <f>IF(tblHRAnalytics[[#This Row],[Attrition]]="Yes",1,0)</f>
        <v>0</v>
      </c>
    </row>
    <row r="346" spans="1:36">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c r="AJ346">
        <f>IF(tblHRAnalytics[[#This Row],[Attrition]]="Yes",1,0)</f>
        <v>0</v>
      </c>
    </row>
    <row r="347" spans="1:36">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c r="AJ347">
        <f>IF(tblHRAnalytics[[#This Row],[Attrition]]="Yes",1,0)</f>
        <v>0</v>
      </c>
    </row>
    <row r="348" spans="1:36">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c r="AJ348">
        <f>IF(tblHRAnalytics[[#This Row],[Attrition]]="Yes",1,0)</f>
        <v>0</v>
      </c>
    </row>
    <row r="349" spans="1:36">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c r="AJ349">
        <f>IF(tblHRAnalytics[[#This Row],[Attrition]]="Yes",1,0)</f>
        <v>0</v>
      </c>
    </row>
    <row r="350" spans="1:36">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c r="AJ350">
        <f>IF(tblHRAnalytics[[#This Row],[Attrition]]="Yes",1,0)</f>
        <v>0</v>
      </c>
    </row>
    <row r="351" spans="1:36">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c r="AJ351">
        <f>IF(tblHRAnalytics[[#This Row],[Attrition]]="Yes",1,0)</f>
        <v>0</v>
      </c>
    </row>
    <row r="352" spans="1:36">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c r="AJ352">
        <f>IF(tblHRAnalytics[[#This Row],[Attrition]]="Yes",1,0)</f>
        <v>0</v>
      </c>
    </row>
    <row r="353" spans="1:36">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c r="AJ353">
        <f>IF(tblHRAnalytics[[#This Row],[Attrition]]="Yes",1,0)</f>
        <v>0</v>
      </c>
    </row>
    <row r="354" spans="1:36">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c r="AJ354">
        <f>IF(tblHRAnalytics[[#This Row],[Attrition]]="Yes",1,0)</f>
        <v>0</v>
      </c>
    </row>
    <row r="355" spans="1:36">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c r="AJ355">
        <f>IF(tblHRAnalytics[[#This Row],[Attrition]]="Yes",1,0)</f>
        <v>0</v>
      </c>
    </row>
    <row r="356" spans="1:36">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c r="AJ356">
        <f>IF(tblHRAnalytics[[#This Row],[Attrition]]="Yes",1,0)</f>
        <v>0</v>
      </c>
    </row>
    <row r="357" spans="1:36">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c r="AJ357">
        <f>IF(tblHRAnalytics[[#This Row],[Attrition]]="Yes",1,0)</f>
        <v>0</v>
      </c>
    </row>
    <row r="358" spans="1:36">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c r="AJ358">
        <f>IF(tblHRAnalytics[[#This Row],[Attrition]]="Yes",1,0)</f>
        <v>0</v>
      </c>
    </row>
    <row r="359" spans="1:36">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c r="AJ359">
        <f>IF(tblHRAnalytics[[#This Row],[Attrition]]="Yes",1,0)</f>
        <v>1</v>
      </c>
    </row>
    <row r="360" spans="1:36">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c r="AJ360">
        <f>IF(tblHRAnalytics[[#This Row],[Attrition]]="Yes",1,0)</f>
        <v>0</v>
      </c>
    </row>
    <row r="361" spans="1:36">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c r="AJ361">
        <f>IF(tblHRAnalytics[[#This Row],[Attrition]]="Yes",1,0)</f>
        <v>0</v>
      </c>
    </row>
    <row r="362" spans="1:36">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c r="AJ362">
        <f>IF(tblHRAnalytics[[#This Row],[Attrition]]="Yes",1,0)</f>
        <v>0</v>
      </c>
    </row>
    <row r="363" spans="1:36">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c r="AJ363">
        <f>IF(tblHRAnalytics[[#This Row],[Attrition]]="Yes",1,0)</f>
        <v>0</v>
      </c>
    </row>
    <row r="364" spans="1:36">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c r="AJ364">
        <f>IF(tblHRAnalytics[[#This Row],[Attrition]]="Yes",1,0)</f>
        <v>0</v>
      </c>
    </row>
    <row r="365" spans="1:36">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c r="AJ365">
        <f>IF(tblHRAnalytics[[#This Row],[Attrition]]="Yes",1,0)</f>
        <v>1</v>
      </c>
    </row>
    <row r="366" spans="1:36">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c r="AJ366">
        <f>IF(tblHRAnalytics[[#This Row],[Attrition]]="Yes",1,0)</f>
        <v>0</v>
      </c>
    </row>
    <row r="367" spans="1:36">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c r="AJ367">
        <f>IF(tblHRAnalytics[[#This Row],[Attrition]]="Yes",1,0)</f>
        <v>0</v>
      </c>
    </row>
    <row r="368" spans="1:36">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c r="AJ368">
        <f>IF(tblHRAnalytics[[#This Row],[Attrition]]="Yes",1,0)</f>
        <v>1</v>
      </c>
    </row>
    <row r="369" spans="1:36">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c r="AJ369">
        <f>IF(tblHRAnalytics[[#This Row],[Attrition]]="Yes",1,0)</f>
        <v>0</v>
      </c>
    </row>
    <row r="370" spans="1:36">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c r="AJ370">
        <f>IF(tblHRAnalytics[[#This Row],[Attrition]]="Yes",1,0)</f>
        <v>1</v>
      </c>
    </row>
    <row r="371" spans="1:36">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c r="AJ371">
        <f>IF(tblHRAnalytics[[#This Row],[Attrition]]="Yes",1,0)</f>
        <v>0</v>
      </c>
    </row>
    <row r="372" spans="1:36">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c r="AJ372">
        <f>IF(tblHRAnalytics[[#This Row],[Attrition]]="Yes",1,0)</f>
        <v>1</v>
      </c>
    </row>
    <row r="373" spans="1:36">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c r="AJ373">
        <f>IF(tblHRAnalytics[[#This Row],[Attrition]]="Yes",1,0)</f>
        <v>0</v>
      </c>
    </row>
    <row r="374" spans="1:36">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c r="AJ374">
        <f>IF(tblHRAnalytics[[#This Row],[Attrition]]="Yes",1,0)</f>
        <v>0</v>
      </c>
    </row>
    <row r="375" spans="1:36">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c r="AJ375">
        <f>IF(tblHRAnalytics[[#This Row],[Attrition]]="Yes",1,0)</f>
        <v>0</v>
      </c>
    </row>
    <row r="376" spans="1:36">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c r="AJ376">
        <f>IF(tblHRAnalytics[[#This Row],[Attrition]]="Yes",1,0)</f>
        <v>0</v>
      </c>
    </row>
    <row r="377" spans="1:36">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c r="AJ377">
        <f>IF(tblHRAnalytics[[#This Row],[Attrition]]="Yes",1,0)</f>
        <v>0</v>
      </c>
    </row>
    <row r="378" spans="1:36">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c r="AJ378">
        <f>IF(tblHRAnalytics[[#This Row],[Attrition]]="Yes",1,0)</f>
        <v>0</v>
      </c>
    </row>
    <row r="379" spans="1:36">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c r="AJ379">
        <f>IF(tblHRAnalytics[[#This Row],[Attrition]]="Yes",1,0)</f>
        <v>0</v>
      </c>
    </row>
    <row r="380" spans="1:36">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c r="AJ380">
        <f>IF(tblHRAnalytics[[#This Row],[Attrition]]="Yes",1,0)</f>
        <v>1</v>
      </c>
    </row>
    <row r="381" spans="1:36">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c r="AJ381">
        <f>IF(tblHRAnalytics[[#This Row],[Attrition]]="Yes",1,0)</f>
        <v>0</v>
      </c>
    </row>
    <row r="382" spans="1:36">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c r="AJ382">
        <f>IF(tblHRAnalytics[[#This Row],[Attrition]]="Yes",1,0)</f>
        <v>0</v>
      </c>
    </row>
    <row r="383" spans="1:36">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c r="AJ383">
        <f>IF(tblHRAnalytics[[#This Row],[Attrition]]="Yes",1,0)</f>
        <v>0</v>
      </c>
    </row>
    <row r="384" spans="1:36">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c r="AJ384">
        <f>IF(tblHRAnalytics[[#This Row],[Attrition]]="Yes",1,0)</f>
        <v>1</v>
      </c>
    </row>
    <row r="385" spans="1:36">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c r="AJ385">
        <f>IF(tblHRAnalytics[[#This Row],[Attrition]]="Yes",1,0)</f>
        <v>0</v>
      </c>
    </row>
    <row r="386" spans="1:36">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c r="AJ386">
        <f>IF(tblHRAnalytics[[#This Row],[Attrition]]="Yes",1,0)</f>
        <v>0</v>
      </c>
    </row>
    <row r="387" spans="1:36">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c r="AJ387">
        <f>IF(tblHRAnalytics[[#This Row],[Attrition]]="Yes",1,0)</f>
        <v>1</v>
      </c>
    </row>
    <row r="388" spans="1:36">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c r="AJ388">
        <f>IF(tblHRAnalytics[[#This Row],[Attrition]]="Yes",1,0)</f>
        <v>0</v>
      </c>
    </row>
    <row r="389" spans="1:36">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c r="AJ389">
        <f>IF(tblHRAnalytics[[#This Row],[Attrition]]="Yes",1,0)</f>
        <v>0</v>
      </c>
    </row>
    <row r="390" spans="1:36">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c r="AJ390">
        <f>IF(tblHRAnalytics[[#This Row],[Attrition]]="Yes",1,0)</f>
        <v>0</v>
      </c>
    </row>
    <row r="391" spans="1:36">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c r="AJ391">
        <f>IF(tblHRAnalytics[[#This Row],[Attrition]]="Yes",1,0)</f>
        <v>0</v>
      </c>
    </row>
    <row r="392" spans="1:36">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c r="AJ392">
        <f>IF(tblHRAnalytics[[#This Row],[Attrition]]="Yes",1,0)</f>
        <v>0</v>
      </c>
    </row>
    <row r="393" spans="1:36">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c r="AJ393">
        <f>IF(tblHRAnalytics[[#This Row],[Attrition]]="Yes",1,0)</f>
        <v>0</v>
      </c>
    </row>
    <row r="394" spans="1:36">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c r="AJ394">
        <f>IF(tblHRAnalytics[[#This Row],[Attrition]]="Yes",1,0)</f>
        <v>0</v>
      </c>
    </row>
    <row r="395" spans="1:36">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c r="AJ395">
        <f>IF(tblHRAnalytics[[#This Row],[Attrition]]="Yes",1,0)</f>
        <v>0</v>
      </c>
    </row>
    <row r="396" spans="1:36">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c r="AJ396">
        <f>IF(tblHRAnalytics[[#This Row],[Attrition]]="Yes",1,0)</f>
        <v>0</v>
      </c>
    </row>
    <row r="397" spans="1:36">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c r="AJ397">
        <f>IF(tblHRAnalytics[[#This Row],[Attrition]]="Yes",1,0)</f>
        <v>0</v>
      </c>
    </row>
    <row r="398" spans="1:36">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c r="AJ398">
        <f>IF(tblHRAnalytics[[#This Row],[Attrition]]="Yes",1,0)</f>
        <v>0</v>
      </c>
    </row>
    <row r="399" spans="1:36">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c r="AJ399">
        <f>IF(tblHRAnalytics[[#This Row],[Attrition]]="Yes",1,0)</f>
        <v>0</v>
      </c>
    </row>
    <row r="400" spans="1:36">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c r="AJ400">
        <f>IF(tblHRAnalytics[[#This Row],[Attrition]]="Yes",1,0)</f>
        <v>0</v>
      </c>
    </row>
    <row r="401" spans="1:36">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c r="AJ401">
        <f>IF(tblHRAnalytics[[#This Row],[Attrition]]="Yes",1,0)</f>
        <v>0</v>
      </c>
    </row>
    <row r="402" spans="1:36">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c r="AJ402">
        <f>IF(tblHRAnalytics[[#This Row],[Attrition]]="Yes",1,0)</f>
        <v>0</v>
      </c>
    </row>
    <row r="403" spans="1:36">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c r="AJ403">
        <f>IF(tblHRAnalytics[[#This Row],[Attrition]]="Yes",1,0)</f>
        <v>0</v>
      </c>
    </row>
    <row r="404" spans="1:36">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c r="AJ404">
        <f>IF(tblHRAnalytics[[#This Row],[Attrition]]="Yes",1,0)</f>
        <v>0</v>
      </c>
    </row>
    <row r="405" spans="1:36">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c r="AJ405">
        <f>IF(tblHRAnalytics[[#This Row],[Attrition]]="Yes",1,0)</f>
        <v>0</v>
      </c>
    </row>
    <row r="406" spans="1:36">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c r="AJ406">
        <f>IF(tblHRAnalytics[[#This Row],[Attrition]]="Yes",1,0)</f>
        <v>0</v>
      </c>
    </row>
    <row r="407" spans="1:36">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c r="AJ407">
        <f>IF(tblHRAnalytics[[#This Row],[Attrition]]="Yes",1,0)</f>
        <v>1</v>
      </c>
    </row>
    <row r="408" spans="1:36">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c r="AJ408">
        <f>IF(tblHRAnalytics[[#This Row],[Attrition]]="Yes",1,0)</f>
        <v>0</v>
      </c>
    </row>
    <row r="409" spans="1:36">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c r="AJ409">
        <f>IF(tblHRAnalytics[[#This Row],[Attrition]]="Yes",1,0)</f>
        <v>0</v>
      </c>
    </row>
    <row r="410" spans="1:36">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c r="AJ410">
        <f>IF(tblHRAnalytics[[#This Row],[Attrition]]="Yes",1,0)</f>
        <v>0</v>
      </c>
    </row>
    <row r="411" spans="1:36">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c r="AJ411">
        <f>IF(tblHRAnalytics[[#This Row],[Attrition]]="Yes",1,0)</f>
        <v>0</v>
      </c>
    </row>
    <row r="412" spans="1:36">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c r="AJ412">
        <f>IF(tblHRAnalytics[[#This Row],[Attrition]]="Yes",1,0)</f>
        <v>0</v>
      </c>
    </row>
    <row r="413" spans="1:36">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c r="AJ413">
        <f>IF(tblHRAnalytics[[#This Row],[Attrition]]="Yes",1,0)</f>
        <v>0</v>
      </c>
    </row>
    <row r="414" spans="1:36">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c r="AJ414">
        <f>IF(tblHRAnalytics[[#This Row],[Attrition]]="Yes",1,0)</f>
        <v>0</v>
      </c>
    </row>
    <row r="415" spans="1:36">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c r="AJ415">
        <f>IF(tblHRAnalytics[[#This Row],[Attrition]]="Yes",1,0)</f>
        <v>0</v>
      </c>
    </row>
    <row r="416" spans="1:36">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c r="AJ416">
        <f>IF(tblHRAnalytics[[#This Row],[Attrition]]="Yes",1,0)</f>
        <v>1</v>
      </c>
    </row>
    <row r="417" spans="1:36">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c r="AJ417">
        <f>IF(tblHRAnalytics[[#This Row],[Attrition]]="Yes",1,0)</f>
        <v>1</v>
      </c>
    </row>
    <row r="418" spans="1:36">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c r="AJ418">
        <f>IF(tblHRAnalytics[[#This Row],[Attrition]]="Yes",1,0)</f>
        <v>0</v>
      </c>
    </row>
    <row r="419" spans="1:36">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c r="AJ419">
        <f>IF(tblHRAnalytics[[#This Row],[Attrition]]="Yes",1,0)</f>
        <v>0</v>
      </c>
    </row>
    <row r="420" spans="1:36">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c r="AJ420">
        <f>IF(tblHRAnalytics[[#This Row],[Attrition]]="Yes",1,0)</f>
        <v>0</v>
      </c>
    </row>
    <row r="421" spans="1:36">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c r="AJ421">
        <f>IF(tblHRAnalytics[[#This Row],[Attrition]]="Yes",1,0)</f>
        <v>0</v>
      </c>
    </row>
    <row r="422" spans="1:36">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c r="AJ422">
        <f>IF(tblHRAnalytics[[#This Row],[Attrition]]="Yes",1,0)</f>
        <v>0</v>
      </c>
    </row>
    <row r="423" spans="1:36">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c r="AJ423">
        <f>IF(tblHRAnalytics[[#This Row],[Attrition]]="Yes",1,0)</f>
        <v>1</v>
      </c>
    </row>
    <row r="424" spans="1:36">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c r="AJ424">
        <f>IF(tblHRAnalytics[[#This Row],[Attrition]]="Yes",1,0)</f>
        <v>1</v>
      </c>
    </row>
    <row r="425" spans="1:36">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c r="AJ425">
        <f>IF(tblHRAnalytics[[#This Row],[Attrition]]="Yes",1,0)</f>
        <v>0</v>
      </c>
    </row>
    <row r="426" spans="1:36">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c r="AJ426">
        <f>IF(tblHRAnalytics[[#This Row],[Attrition]]="Yes",1,0)</f>
        <v>0</v>
      </c>
    </row>
    <row r="427" spans="1:36">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c r="AJ427">
        <f>IF(tblHRAnalytics[[#This Row],[Attrition]]="Yes",1,0)</f>
        <v>0</v>
      </c>
    </row>
    <row r="428" spans="1:36">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c r="AJ428">
        <f>IF(tblHRAnalytics[[#This Row],[Attrition]]="Yes",1,0)</f>
        <v>0</v>
      </c>
    </row>
    <row r="429" spans="1:36">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c r="AJ429">
        <f>IF(tblHRAnalytics[[#This Row],[Attrition]]="Yes",1,0)</f>
        <v>0</v>
      </c>
    </row>
    <row r="430" spans="1:36">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c r="AJ430">
        <f>IF(tblHRAnalytics[[#This Row],[Attrition]]="Yes",1,0)</f>
        <v>0</v>
      </c>
    </row>
    <row r="431" spans="1:36">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c r="AJ431">
        <f>IF(tblHRAnalytics[[#This Row],[Attrition]]="Yes",1,0)</f>
        <v>0</v>
      </c>
    </row>
    <row r="432" spans="1:36">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c r="AJ432">
        <f>IF(tblHRAnalytics[[#This Row],[Attrition]]="Yes",1,0)</f>
        <v>0</v>
      </c>
    </row>
    <row r="433" spans="1:36">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c r="AJ433">
        <f>IF(tblHRAnalytics[[#This Row],[Attrition]]="Yes",1,0)</f>
        <v>0</v>
      </c>
    </row>
    <row r="434" spans="1:36">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c r="AJ434">
        <f>IF(tblHRAnalytics[[#This Row],[Attrition]]="Yes",1,0)</f>
        <v>0</v>
      </c>
    </row>
    <row r="435" spans="1:36">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c r="AJ435">
        <f>IF(tblHRAnalytics[[#This Row],[Attrition]]="Yes",1,0)</f>
        <v>0</v>
      </c>
    </row>
    <row r="436" spans="1:36">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c r="AJ436">
        <f>IF(tblHRAnalytics[[#This Row],[Attrition]]="Yes",1,0)</f>
        <v>0</v>
      </c>
    </row>
    <row r="437" spans="1:36">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c r="AJ437">
        <f>IF(tblHRAnalytics[[#This Row],[Attrition]]="Yes",1,0)</f>
        <v>1</v>
      </c>
    </row>
    <row r="438" spans="1:36">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c r="AJ438">
        <f>IF(tblHRAnalytics[[#This Row],[Attrition]]="Yes",1,0)</f>
        <v>1</v>
      </c>
    </row>
    <row r="439" spans="1:36">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c r="AJ439">
        <f>IF(tblHRAnalytics[[#This Row],[Attrition]]="Yes",1,0)</f>
        <v>0</v>
      </c>
    </row>
    <row r="440" spans="1:36">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c r="AJ440">
        <f>IF(tblHRAnalytics[[#This Row],[Attrition]]="Yes",1,0)</f>
        <v>0</v>
      </c>
    </row>
    <row r="441" spans="1:36">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c r="AJ441">
        <f>IF(tblHRAnalytics[[#This Row],[Attrition]]="Yes",1,0)</f>
        <v>1</v>
      </c>
    </row>
    <row r="442" spans="1:36">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c r="AJ442">
        <f>IF(tblHRAnalytics[[#This Row],[Attrition]]="Yes",1,0)</f>
        <v>1</v>
      </c>
    </row>
    <row r="443" spans="1:36">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c r="AJ443">
        <f>IF(tblHRAnalytics[[#This Row],[Attrition]]="Yes",1,0)</f>
        <v>0</v>
      </c>
    </row>
    <row r="444" spans="1:36">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c r="AJ444">
        <f>IF(tblHRAnalytics[[#This Row],[Attrition]]="Yes",1,0)</f>
        <v>0</v>
      </c>
    </row>
    <row r="445" spans="1:36">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c r="AJ445">
        <f>IF(tblHRAnalytics[[#This Row],[Attrition]]="Yes",1,0)</f>
        <v>1</v>
      </c>
    </row>
    <row r="446" spans="1:36">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c r="AJ446">
        <f>IF(tblHRAnalytics[[#This Row],[Attrition]]="Yes",1,0)</f>
        <v>0</v>
      </c>
    </row>
    <row r="447" spans="1:36">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c r="AJ447">
        <f>IF(tblHRAnalytics[[#This Row],[Attrition]]="Yes",1,0)</f>
        <v>0</v>
      </c>
    </row>
    <row r="448" spans="1:36">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c r="AJ448">
        <f>IF(tblHRAnalytics[[#This Row],[Attrition]]="Yes",1,0)</f>
        <v>0</v>
      </c>
    </row>
    <row r="449" spans="1:36">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c r="AJ449">
        <f>IF(tblHRAnalytics[[#This Row],[Attrition]]="Yes",1,0)</f>
        <v>0</v>
      </c>
    </row>
    <row r="450" spans="1:36">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c r="AJ450">
        <f>IF(tblHRAnalytics[[#This Row],[Attrition]]="Yes",1,0)</f>
        <v>0</v>
      </c>
    </row>
    <row r="451" spans="1:36">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c r="AJ451">
        <f>IF(tblHRAnalytics[[#This Row],[Attrition]]="Yes",1,0)</f>
        <v>0</v>
      </c>
    </row>
    <row r="452" spans="1:36">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c r="AJ452">
        <f>IF(tblHRAnalytics[[#This Row],[Attrition]]="Yes",1,0)</f>
        <v>0</v>
      </c>
    </row>
    <row r="453" spans="1:36">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c r="AJ453">
        <f>IF(tblHRAnalytics[[#This Row],[Attrition]]="Yes",1,0)</f>
        <v>0</v>
      </c>
    </row>
    <row r="454" spans="1:36">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c r="AJ454">
        <f>IF(tblHRAnalytics[[#This Row],[Attrition]]="Yes",1,0)</f>
        <v>0</v>
      </c>
    </row>
    <row r="455" spans="1:36">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c r="AJ455">
        <f>IF(tblHRAnalytics[[#This Row],[Attrition]]="Yes",1,0)</f>
        <v>1</v>
      </c>
    </row>
    <row r="456" spans="1:36">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c r="AJ456">
        <f>IF(tblHRAnalytics[[#This Row],[Attrition]]="Yes",1,0)</f>
        <v>0</v>
      </c>
    </row>
    <row r="457" spans="1:36">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c r="AJ457">
        <f>IF(tblHRAnalytics[[#This Row],[Attrition]]="Yes",1,0)</f>
        <v>0</v>
      </c>
    </row>
    <row r="458" spans="1:36">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c r="AJ458">
        <f>IF(tblHRAnalytics[[#This Row],[Attrition]]="Yes",1,0)</f>
        <v>0</v>
      </c>
    </row>
    <row r="459" spans="1:36">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c r="AJ459">
        <f>IF(tblHRAnalytics[[#This Row],[Attrition]]="Yes",1,0)</f>
        <v>1</v>
      </c>
    </row>
    <row r="460" spans="1:36">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c r="AJ460">
        <f>IF(tblHRAnalytics[[#This Row],[Attrition]]="Yes",1,0)</f>
        <v>0</v>
      </c>
    </row>
    <row r="461" spans="1:36">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c r="AJ461">
        <f>IF(tblHRAnalytics[[#This Row],[Attrition]]="Yes",1,0)</f>
        <v>0</v>
      </c>
    </row>
    <row r="462" spans="1:36">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c r="AJ462">
        <f>IF(tblHRAnalytics[[#This Row],[Attrition]]="Yes",1,0)</f>
        <v>0</v>
      </c>
    </row>
    <row r="463" spans="1:36">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c r="AJ463">
        <f>IF(tblHRAnalytics[[#This Row],[Attrition]]="Yes",1,0)</f>
        <v>0</v>
      </c>
    </row>
    <row r="464" spans="1:36">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c r="AJ464">
        <f>IF(tblHRAnalytics[[#This Row],[Attrition]]="Yes",1,0)</f>
        <v>0</v>
      </c>
    </row>
    <row r="465" spans="1:36">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c r="AJ465">
        <f>IF(tblHRAnalytics[[#This Row],[Attrition]]="Yes",1,0)</f>
        <v>1</v>
      </c>
    </row>
    <row r="466" spans="1:36">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c r="AJ466">
        <f>IF(tblHRAnalytics[[#This Row],[Attrition]]="Yes",1,0)</f>
        <v>0</v>
      </c>
    </row>
    <row r="467" spans="1:36">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c r="AJ467">
        <f>IF(tblHRAnalytics[[#This Row],[Attrition]]="Yes",1,0)</f>
        <v>0</v>
      </c>
    </row>
    <row r="468" spans="1:36">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c r="AJ468">
        <f>IF(tblHRAnalytics[[#This Row],[Attrition]]="Yes",1,0)</f>
        <v>0</v>
      </c>
    </row>
    <row r="469" spans="1:36">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c r="AJ469">
        <f>IF(tblHRAnalytics[[#This Row],[Attrition]]="Yes",1,0)</f>
        <v>0</v>
      </c>
    </row>
    <row r="470" spans="1:36">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c r="AJ470">
        <f>IF(tblHRAnalytics[[#This Row],[Attrition]]="Yes",1,0)</f>
        <v>0</v>
      </c>
    </row>
    <row r="471" spans="1:36">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c r="AJ471">
        <f>IF(tblHRAnalytics[[#This Row],[Attrition]]="Yes",1,0)</f>
        <v>1</v>
      </c>
    </row>
    <row r="472" spans="1:36">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c r="AJ472">
        <f>IF(tblHRAnalytics[[#This Row],[Attrition]]="Yes",1,0)</f>
        <v>0</v>
      </c>
    </row>
    <row r="473" spans="1:36">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c r="AJ473">
        <f>IF(tblHRAnalytics[[#This Row],[Attrition]]="Yes",1,0)</f>
        <v>0</v>
      </c>
    </row>
    <row r="474" spans="1:36">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c r="AJ474">
        <f>IF(tblHRAnalytics[[#This Row],[Attrition]]="Yes",1,0)</f>
        <v>0</v>
      </c>
    </row>
    <row r="475" spans="1:36">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c r="AJ475">
        <f>IF(tblHRAnalytics[[#This Row],[Attrition]]="Yes",1,0)</f>
        <v>0</v>
      </c>
    </row>
    <row r="476" spans="1:36">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c r="AJ476">
        <f>IF(tblHRAnalytics[[#This Row],[Attrition]]="Yes",1,0)</f>
        <v>0</v>
      </c>
    </row>
    <row r="477" spans="1:36">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c r="AJ477">
        <f>IF(tblHRAnalytics[[#This Row],[Attrition]]="Yes",1,0)</f>
        <v>0</v>
      </c>
    </row>
    <row r="478" spans="1:36">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c r="AJ478">
        <f>IF(tblHRAnalytics[[#This Row],[Attrition]]="Yes",1,0)</f>
        <v>0</v>
      </c>
    </row>
    <row r="479" spans="1:36">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c r="AJ479">
        <f>IF(tblHRAnalytics[[#This Row],[Attrition]]="Yes",1,0)</f>
        <v>0</v>
      </c>
    </row>
    <row r="480" spans="1:36">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c r="AJ480">
        <f>IF(tblHRAnalytics[[#This Row],[Attrition]]="Yes",1,0)</f>
        <v>0</v>
      </c>
    </row>
    <row r="481" spans="1:36">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c r="AJ481">
        <f>IF(tblHRAnalytics[[#This Row],[Attrition]]="Yes",1,0)</f>
        <v>1</v>
      </c>
    </row>
    <row r="482" spans="1:36">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c r="AJ482">
        <f>IF(tblHRAnalytics[[#This Row],[Attrition]]="Yes",1,0)</f>
        <v>1</v>
      </c>
    </row>
    <row r="483" spans="1:36">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c r="AJ483">
        <f>IF(tblHRAnalytics[[#This Row],[Attrition]]="Yes",1,0)</f>
        <v>0</v>
      </c>
    </row>
    <row r="484" spans="1:36">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c r="AJ484">
        <f>IF(tblHRAnalytics[[#This Row],[Attrition]]="Yes",1,0)</f>
        <v>1</v>
      </c>
    </row>
    <row r="485" spans="1:36">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c r="AJ485">
        <f>IF(tblHRAnalytics[[#This Row],[Attrition]]="Yes",1,0)</f>
        <v>0</v>
      </c>
    </row>
    <row r="486" spans="1:36">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c r="AJ486">
        <f>IF(tblHRAnalytics[[#This Row],[Attrition]]="Yes",1,0)</f>
        <v>0</v>
      </c>
    </row>
    <row r="487" spans="1:36">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c r="AJ487">
        <f>IF(tblHRAnalytics[[#This Row],[Attrition]]="Yes",1,0)</f>
        <v>0</v>
      </c>
    </row>
    <row r="488" spans="1:36">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c r="AJ488">
        <f>IF(tblHRAnalytics[[#This Row],[Attrition]]="Yes",1,0)</f>
        <v>0</v>
      </c>
    </row>
    <row r="489" spans="1:36">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c r="AJ489">
        <f>IF(tblHRAnalytics[[#This Row],[Attrition]]="Yes",1,0)</f>
        <v>0</v>
      </c>
    </row>
    <row r="490" spans="1:36">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c r="AJ490">
        <f>IF(tblHRAnalytics[[#This Row],[Attrition]]="Yes",1,0)</f>
        <v>0</v>
      </c>
    </row>
    <row r="491" spans="1:36">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c r="AJ491">
        <f>IF(tblHRAnalytics[[#This Row],[Attrition]]="Yes",1,0)</f>
        <v>0</v>
      </c>
    </row>
    <row r="492" spans="1:36">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c r="AJ492">
        <f>IF(tblHRAnalytics[[#This Row],[Attrition]]="Yes",1,0)</f>
        <v>0</v>
      </c>
    </row>
    <row r="493" spans="1:36">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c r="AJ493">
        <f>IF(tblHRAnalytics[[#This Row],[Attrition]]="Yes",1,0)</f>
        <v>0</v>
      </c>
    </row>
    <row r="494" spans="1:36">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c r="AJ494">
        <f>IF(tblHRAnalytics[[#This Row],[Attrition]]="Yes",1,0)</f>
        <v>0</v>
      </c>
    </row>
    <row r="495" spans="1:36">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c r="AJ495">
        <f>IF(tblHRAnalytics[[#This Row],[Attrition]]="Yes",1,0)</f>
        <v>0</v>
      </c>
    </row>
    <row r="496" spans="1:36">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c r="AJ496">
        <f>IF(tblHRAnalytics[[#This Row],[Attrition]]="Yes",1,0)</f>
        <v>0</v>
      </c>
    </row>
    <row r="497" spans="1:36">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c r="AJ497">
        <f>IF(tblHRAnalytics[[#This Row],[Attrition]]="Yes",1,0)</f>
        <v>1</v>
      </c>
    </row>
    <row r="498" spans="1:36">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c r="AJ498">
        <f>IF(tblHRAnalytics[[#This Row],[Attrition]]="Yes",1,0)</f>
        <v>0</v>
      </c>
    </row>
    <row r="499" spans="1:36">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c r="AJ499">
        <f>IF(tblHRAnalytics[[#This Row],[Attrition]]="Yes",1,0)</f>
        <v>0</v>
      </c>
    </row>
    <row r="500" spans="1:36">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c r="AJ500">
        <f>IF(tblHRAnalytics[[#This Row],[Attrition]]="Yes",1,0)</f>
        <v>0</v>
      </c>
    </row>
    <row r="501" spans="1:36">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c r="AJ501">
        <f>IF(tblHRAnalytics[[#This Row],[Attrition]]="Yes",1,0)</f>
        <v>0</v>
      </c>
    </row>
    <row r="502" spans="1:36">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c r="AJ502">
        <f>IF(tblHRAnalytics[[#This Row],[Attrition]]="Yes",1,0)</f>
        <v>0</v>
      </c>
    </row>
    <row r="503" spans="1:36">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c r="AJ503">
        <f>IF(tblHRAnalytics[[#This Row],[Attrition]]="Yes",1,0)</f>
        <v>0</v>
      </c>
    </row>
    <row r="504" spans="1:36">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c r="AJ504">
        <f>IF(tblHRAnalytics[[#This Row],[Attrition]]="Yes",1,0)</f>
        <v>0</v>
      </c>
    </row>
    <row r="505" spans="1:36">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c r="AJ505">
        <f>IF(tblHRAnalytics[[#This Row],[Attrition]]="Yes",1,0)</f>
        <v>0</v>
      </c>
    </row>
    <row r="506" spans="1:36">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c r="AJ506">
        <f>IF(tblHRAnalytics[[#This Row],[Attrition]]="Yes",1,0)</f>
        <v>1</v>
      </c>
    </row>
    <row r="507" spans="1:36">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c r="AJ507">
        <f>IF(tblHRAnalytics[[#This Row],[Attrition]]="Yes",1,0)</f>
        <v>0</v>
      </c>
    </row>
    <row r="508" spans="1:36">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c r="AJ508">
        <f>IF(tblHRAnalytics[[#This Row],[Attrition]]="Yes",1,0)</f>
        <v>0</v>
      </c>
    </row>
    <row r="509" spans="1:36">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c r="AJ509">
        <f>IF(tblHRAnalytics[[#This Row],[Attrition]]="Yes",1,0)</f>
        <v>0</v>
      </c>
    </row>
    <row r="510" spans="1:36">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c r="AJ510">
        <f>IF(tblHRAnalytics[[#This Row],[Attrition]]="Yes",1,0)</f>
        <v>0</v>
      </c>
    </row>
    <row r="511" spans="1:36">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c r="AJ511">
        <f>IF(tblHRAnalytics[[#This Row],[Attrition]]="Yes",1,0)</f>
        <v>0</v>
      </c>
    </row>
    <row r="512" spans="1:36">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c r="AJ512">
        <f>IF(tblHRAnalytics[[#This Row],[Attrition]]="Yes",1,0)</f>
        <v>0</v>
      </c>
    </row>
    <row r="513" spans="1:36">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c r="AJ513">
        <f>IF(tblHRAnalytics[[#This Row],[Attrition]]="Yes",1,0)</f>
        <v>0</v>
      </c>
    </row>
    <row r="514" spans="1:36">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c r="AJ514">
        <f>IF(tblHRAnalytics[[#This Row],[Attrition]]="Yes",1,0)</f>
        <v>0</v>
      </c>
    </row>
    <row r="515" spans="1:36">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c r="AJ515">
        <f>IF(tblHRAnalytics[[#This Row],[Attrition]]="Yes",1,0)</f>
        <v>1</v>
      </c>
    </row>
    <row r="516" spans="1:36">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c r="AJ516">
        <f>IF(tblHRAnalytics[[#This Row],[Attrition]]="Yes",1,0)</f>
        <v>1</v>
      </c>
    </row>
    <row r="517" spans="1:36">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c r="AJ517">
        <f>IF(tblHRAnalytics[[#This Row],[Attrition]]="Yes",1,0)</f>
        <v>0</v>
      </c>
    </row>
    <row r="518" spans="1:36">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c r="AJ518">
        <f>IF(tblHRAnalytics[[#This Row],[Attrition]]="Yes",1,0)</f>
        <v>0</v>
      </c>
    </row>
    <row r="519" spans="1:36">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c r="AJ519">
        <f>IF(tblHRAnalytics[[#This Row],[Attrition]]="Yes",1,0)</f>
        <v>0</v>
      </c>
    </row>
    <row r="520" spans="1:36">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c r="AJ520">
        <f>IF(tblHRAnalytics[[#This Row],[Attrition]]="Yes",1,0)</f>
        <v>0</v>
      </c>
    </row>
    <row r="521" spans="1:36">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c r="AJ521">
        <f>IF(tblHRAnalytics[[#This Row],[Attrition]]="Yes",1,0)</f>
        <v>0</v>
      </c>
    </row>
    <row r="522" spans="1:36">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c r="AJ522">
        <f>IF(tblHRAnalytics[[#This Row],[Attrition]]="Yes",1,0)</f>
        <v>0</v>
      </c>
    </row>
    <row r="523" spans="1:36">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c r="AJ523">
        <f>IF(tblHRAnalytics[[#This Row],[Attrition]]="Yes",1,0)</f>
        <v>0</v>
      </c>
    </row>
    <row r="524" spans="1:36">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c r="AJ524">
        <f>IF(tblHRAnalytics[[#This Row],[Attrition]]="Yes",1,0)</f>
        <v>0</v>
      </c>
    </row>
    <row r="525" spans="1:36">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c r="AJ525">
        <f>IF(tblHRAnalytics[[#This Row],[Attrition]]="Yes",1,0)</f>
        <v>0</v>
      </c>
    </row>
    <row r="526" spans="1:36">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c r="AJ526">
        <f>IF(tblHRAnalytics[[#This Row],[Attrition]]="Yes",1,0)</f>
        <v>0</v>
      </c>
    </row>
    <row r="527" spans="1:36">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c r="AJ527">
        <f>IF(tblHRAnalytics[[#This Row],[Attrition]]="Yes",1,0)</f>
        <v>1</v>
      </c>
    </row>
    <row r="528" spans="1:36">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c r="AJ528">
        <f>IF(tblHRAnalytics[[#This Row],[Attrition]]="Yes",1,0)</f>
        <v>0</v>
      </c>
    </row>
    <row r="529" spans="1:36">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c r="AJ529">
        <f>IF(tblHRAnalytics[[#This Row],[Attrition]]="Yes",1,0)</f>
        <v>0</v>
      </c>
    </row>
    <row r="530" spans="1:36">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c r="AJ530">
        <f>IF(tblHRAnalytics[[#This Row],[Attrition]]="Yes",1,0)</f>
        <v>1</v>
      </c>
    </row>
    <row r="531" spans="1:36">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c r="AJ531">
        <f>IF(tblHRAnalytics[[#This Row],[Attrition]]="Yes",1,0)</f>
        <v>0</v>
      </c>
    </row>
    <row r="532" spans="1:36">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c r="AJ532">
        <f>IF(tblHRAnalytics[[#This Row],[Attrition]]="Yes",1,0)</f>
        <v>0</v>
      </c>
    </row>
    <row r="533" spans="1:36">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c r="AJ533">
        <f>IF(tblHRAnalytics[[#This Row],[Attrition]]="Yes",1,0)</f>
        <v>0</v>
      </c>
    </row>
    <row r="534" spans="1:36">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c r="AJ534">
        <f>IF(tblHRAnalytics[[#This Row],[Attrition]]="Yes",1,0)</f>
        <v>0</v>
      </c>
    </row>
    <row r="535" spans="1:36">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c r="AJ535">
        <f>IF(tblHRAnalytics[[#This Row],[Attrition]]="Yes",1,0)</f>
        <v>0</v>
      </c>
    </row>
    <row r="536" spans="1:36">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c r="AJ536">
        <f>IF(tblHRAnalytics[[#This Row],[Attrition]]="Yes",1,0)</f>
        <v>0</v>
      </c>
    </row>
    <row r="537" spans="1:36">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c r="AJ537">
        <f>IF(tblHRAnalytics[[#This Row],[Attrition]]="Yes",1,0)</f>
        <v>0</v>
      </c>
    </row>
    <row r="538" spans="1:36">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c r="AJ538">
        <f>IF(tblHRAnalytics[[#This Row],[Attrition]]="Yes",1,0)</f>
        <v>0</v>
      </c>
    </row>
    <row r="539" spans="1:36">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c r="AJ539">
        <f>IF(tblHRAnalytics[[#This Row],[Attrition]]="Yes",1,0)</f>
        <v>0</v>
      </c>
    </row>
    <row r="540" spans="1:36">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c r="AJ540">
        <f>IF(tblHRAnalytics[[#This Row],[Attrition]]="Yes",1,0)</f>
        <v>0</v>
      </c>
    </row>
    <row r="541" spans="1:36">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c r="AJ541">
        <f>IF(tblHRAnalytics[[#This Row],[Attrition]]="Yes",1,0)</f>
        <v>0</v>
      </c>
    </row>
    <row r="542" spans="1:36">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c r="AJ542">
        <f>IF(tblHRAnalytics[[#This Row],[Attrition]]="Yes",1,0)</f>
        <v>1</v>
      </c>
    </row>
    <row r="543" spans="1:36">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c r="AJ543">
        <f>IF(tblHRAnalytics[[#This Row],[Attrition]]="Yes",1,0)</f>
        <v>0</v>
      </c>
    </row>
    <row r="544" spans="1:36">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c r="AJ544">
        <f>IF(tblHRAnalytics[[#This Row],[Attrition]]="Yes",1,0)</f>
        <v>0</v>
      </c>
    </row>
    <row r="545" spans="1:36">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c r="AJ545">
        <f>IF(tblHRAnalytics[[#This Row],[Attrition]]="Yes",1,0)</f>
        <v>0</v>
      </c>
    </row>
    <row r="546" spans="1:36">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c r="AJ546">
        <f>IF(tblHRAnalytics[[#This Row],[Attrition]]="Yes",1,0)</f>
        <v>0</v>
      </c>
    </row>
    <row r="547" spans="1:36">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c r="AJ547">
        <f>IF(tblHRAnalytics[[#This Row],[Attrition]]="Yes",1,0)</f>
        <v>0</v>
      </c>
    </row>
    <row r="548" spans="1:36">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c r="AJ548">
        <f>IF(tblHRAnalytics[[#This Row],[Attrition]]="Yes",1,0)</f>
        <v>0</v>
      </c>
    </row>
    <row r="549" spans="1:36">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c r="AJ549">
        <f>IF(tblHRAnalytics[[#This Row],[Attrition]]="Yes",1,0)</f>
        <v>1</v>
      </c>
    </row>
    <row r="550" spans="1:36">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c r="AJ550">
        <f>IF(tblHRAnalytics[[#This Row],[Attrition]]="Yes",1,0)</f>
        <v>0</v>
      </c>
    </row>
    <row r="551" spans="1:36">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c r="AJ551">
        <f>IF(tblHRAnalytics[[#This Row],[Attrition]]="Yes",1,0)</f>
        <v>0</v>
      </c>
    </row>
    <row r="552" spans="1:36">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c r="AJ552">
        <f>IF(tblHRAnalytics[[#This Row],[Attrition]]="Yes",1,0)</f>
        <v>0</v>
      </c>
    </row>
    <row r="553" spans="1:36">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c r="AJ553">
        <f>IF(tblHRAnalytics[[#This Row],[Attrition]]="Yes",1,0)</f>
        <v>0</v>
      </c>
    </row>
    <row r="554" spans="1:36">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c r="AJ554">
        <f>IF(tblHRAnalytics[[#This Row],[Attrition]]="Yes",1,0)</f>
        <v>0</v>
      </c>
    </row>
    <row r="555" spans="1:36">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c r="AJ555">
        <f>IF(tblHRAnalytics[[#This Row],[Attrition]]="Yes",1,0)</f>
        <v>0</v>
      </c>
    </row>
    <row r="556" spans="1:36">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c r="AJ556">
        <f>IF(tblHRAnalytics[[#This Row],[Attrition]]="Yes",1,0)</f>
        <v>0</v>
      </c>
    </row>
    <row r="557" spans="1:36">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c r="AJ557">
        <f>IF(tblHRAnalytics[[#This Row],[Attrition]]="Yes",1,0)</f>
        <v>0</v>
      </c>
    </row>
    <row r="558" spans="1:36">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c r="AJ558">
        <f>IF(tblHRAnalytics[[#This Row],[Attrition]]="Yes",1,0)</f>
        <v>0</v>
      </c>
    </row>
    <row r="559" spans="1:36">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c r="AJ559">
        <f>IF(tblHRAnalytics[[#This Row],[Attrition]]="Yes",1,0)</f>
        <v>0</v>
      </c>
    </row>
    <row r="560" spans="1:36">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c r="AJ560">
        <f>IF(tblHRAnalytics[[#This Row],[Attrition]]="Yes",1,0)</f>
        <v>0</v>
      </c>
    </row>
    <row r="561" spans="1:36">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c r="AJ561">
        <f>IF(tblHRAnalytics[[#This Row],[Attrition]]="Yes",1,0)</f>
        <v>0</v>
      </c>
    </row>
    <row r="562" spans="1:36">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c r="AJ562">
        <f>IF(tblHRAnalytics[[#This Row],[Attrition]]="Yes",1,0)</f>
        <v>0</v>
      </c>
    </row>
    <row r="563" spans="1:36">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c r="AJ563">
        <f>IF(tblHRAnalytics[[#This Row],[Attrition]]="Yes",1,0)</f>
        <v>0</v>
      </c>
    </row>
    <row r="564" spans="1:36">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c r="AJ564">
        <f>IF(tblHRAnalytics[[#This Row],[Attrition]]="Yes",1,0)</f>
        <v>1</v>
      </c>
    </row>
    <row r="565" spans="1:36">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c r="AJ565">
        <f>IF(tblHRAnalytics[[#This Row],[Attrition]]="Yes",1,0)</f>
        <v>0</v>
      </c>
    </row>
    <row r="566" spans="1:36">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c r="AJ566">
        <f>IF(tblHRAnalytics[[#This Row],[Attrition]]="Yes",1,0)</f>
        <v>0</v>
      </c>
    </row>
    <row r="567" spans="1:36">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c r="AJ567">
        <f>IF(tblHRAnalytics[[#This Row],[Attrition]]="Yes",1,0)</f>
        <v>0</v>
      </c>
    </row>
    <row r="568" spans="1:36">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c r="AJ568">
        <f>IF(tblHRAnalytics[[#This Row],[Attrition]]="Yes",1,0)</f>
        <v>1</v>
      </c>
    </row>
    <row r="569" spans="1:36">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c r="AJ569">
        <f>IF(tblHRAnalytics[[#This Row],[Attrition]]="Yes",1,0)</f>
        <v>0</v>
      </c>
    </row>
    <row r="570" spans="1:36">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c r="AJ570">
        <f>IF(tblHRAnalytics[[#This Row],[Attrition]]="Yes",1,0)</f>
        <v>1</v>
      </c>
    </row>
    <row r="571" spans="1:36">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c r="AJ571">
        <f>IF(tblHRAnalytics[[#This Row],[Attrition]]="Yes",1,0)</f>
        <v>0</v>
      </c>
    </row>
    <row r="572" spans="1:36">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c r="AJ572">
        <f>IF(tblHRAnalytics[[#This Row],[Attrition]]="Yes",1,0)</f>
        <v>0</v>
      </c>
    </row>
    <row r="573" spans="1:36">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c r="AJ573">
        <f>IF(tblHRAnalytics[[#This Row],[Attrition]]="Yes",1,0)</f>
        <v>0</v>
      </c>
    </row>
    <row r="574" spans="1:36">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c r="AJ574">
        <f>IF(tblHRAnalytics[[#This Row],[Attrition]]="Yes",1,0)</f>
        <v>0</v>
      </c>
    </row>
    <row r="575" spans="1:36">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c r="AJ575">
        <f>IF(tblHRAnalytics[[#This Row],[Attrition]]="Yes",1,0)</f>
        <v>1</v>
      </c>
    </row>
    <row r="576" spans="1:36">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c r="AJ576">
        <f>IF(tblHRAnalytics[[#This Row],[Attrition]]="Yes",1,0)</f>
        <v>0</v>
      </c>
    </row>
    <row r="577" spans="1:36">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c r="AJ577">
        <f>IF(tblHRAnalytics[[#This Row],[Attrition]]="Yes",1,0)</f>
        <v>0</v>
      </c>
    </row>
    <row r="578" spans="1:36">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c r="AJ578">
        <f>IF(tblHRAnalytics[[#This Row],[Attrition]]="Yes",1,0)</f>
        <v>0</v>
      </c>
    </row>
    <row r="579" spans="1:36">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c r="AJ579">
        <f>IF(tblHRAnalytics[[#This Row],[Attrition]]="Yes",1,0)</f>
        <v>0</v>
      </c>
    </row>
    <row r="580" spans="1:36">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c r="AJ580">
        <f>IF(tblHRAnalytics[[#This Row],[Attrition]]="Yes",1,0)</f>
        <v>0</v>
      </c>
    </row>
    <row r="581" spans="1:36">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c r="AJ581">
        <f>IF(tblHRAnalytics[[#This Row],[Attrition]]="Yes",1,0)</f>
        <v>0</v>
      </c>
    </row>
    <row r="582" spans="1:36">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c r="AJ582">
        <f>IF(tblHRAnalytics[[#This Row],[Attrition]]="Yes",1,0)</f>
        <v>0</v>
      </c>
    </row>
    <row r="583" spans="1:36">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c r="AJ583">
        <f>IF(tblHRAnalytics[[#This Row],[Attrition]]="Yes",1,0)</f>
        <v>0</v>
      </c>
    </row>
    <row r="584" spans="1:36">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c r="AJ584">
        <f>IF(tblHRAnalytics[[#This Row],[Attrition]]="Yes",1,0)</f>
        <v>0</v>
      </c>
    </row>
    <row r="585" spans="1:36">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c r="AJ585">
        <f>IF(tblHRAnalytics[[#This Row],[Attrition]]="Yes",1,0)</f>
        <v>0</v>
      </c>
    </row>
    <row r="586" spans="1:36">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c r="AJ586">
        <f>IF(tblHRAnalytics[[#This Row],[Attrition]]="Yes",1,0)</f>
        <v>0</v>
      </c>
    </row>
    <row r="587" spans="1:36">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c r="AJ587">
        <f>IF(tblHRAnalytics[[#This Row],[Attrition]]="Yes",1,0)</f>
        <v>1</v>
      </c>
    </row>
    <row r="588" spans="1:36">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c r="AJ588">
        <f>IF(tblHRAnalytics[[#This Row],[Attrition]]="Yes",1,0)</f>
        <v>0</v>
      </c>
    </row>
    <row r="589" spans="1:36">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c r="AJ589">
        <f>IF(tblHRAnalytics[[#This Row],[Attrition]]="Yes",1,0)</f>
        <v>0</v>
      </c>
    </row>
    <row r="590" spans="1:36">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c r="AJ590">
        <f>IF(tblHRAnalytics[[#This Row],[Attrition]]="Yes",1,0)</f>
        <v>0</v>
      </c>
    </row>
    <row r="591" spans="1:36">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c r="AJ591">
        <f>IF(tblHRAnalytics[[#This Row],[Attrition]]="Yes",1,0)</f>
        <v>1</v>
      </c>
    </row>
    <row r="592" spans="1:36">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c r="AJ592">
        <f>IF(tblHRAnalytics[[#This Row],[Attrition]]="Yes",1,0)</f>
        <v>0</v>
      </c>
    </row>
    <row r="593" spans="1:36">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c r="AJ593">
        <f>IF(tblHRAnalytics[[#This Row],[Attrition]]="Yes",1,0)</f>
        <v>1</v>
      </c>
    </row>
    <row r="594" spans="1:36">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c r="AJ594">
        <f>IF(tblHRAnalytics[[#This Row],[Attrition]]="Yes",1,0)</f>
        <v>0</v>
      </c>
    </row>
    <row r="595" spans="1:36">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c r="AJ595">
        <f>IF(tblHRAnalytics[[#This Row],[Attrition]]="Yes",1,0)</f>
        <v>0</v>
      </c>
    </row>
    <row r="596" spans="1:36">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c r="AJ596">
        <f>IF(tblHRAnalytics[[#This Row],[Attrition]]="Yes",1,0)</f>
        <v>0</v>
      </c>
    </row>
    <row r="597" spans="1:36">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c r="AJ597">
        <f>IF(tblHRAnalytics[[#This Row],[Attrition]]="Yes",1,0)</f>
        <v>1</v>
      </c>
    </row>
    <row r="598" spans="1:36">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c r="AJ598">
        <f>IF(tblHRAnalytics[[#This Row],[Attrition]]="Yes",1,0)</f>
        <v>0</v>
      </c>
    </row>
    <row r="599" spans="1:36">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c r="AJ599">
        <f>IF(tblHRAnalytics[[#This Row],[Attrition]]="Yes",1,0)</f>
        <v>0</v>
      </c>
    </row>
    <row r="600" spans="1:36">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c r="AJ600">
        <f>IF(tblHRAnalytics[[#This Row],[Attrition]]="Yes",1,0)</f>
        <v>1</v>
      </c>
    </row>
    <row r="601" spans="1:36">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c r="AJ601">
        <f>IF(tblHRAnalytics[[#This Row],[Attrition]]="Yes",1,0)</f>
        <v>0</v>
      </c>
    </row>
    <row r="602" spans="1:36">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c r="AJ602">
        <f>IF(tblHRAnalytics[[#This Row],[Attrition]]="Yes",1,0)</f>
        <v>0</v>
      </c>
    </row>
    <row r="603" spans="1:36">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c r="AJ603">
        <f>IF(tblHRAnalytics[[#This Row],[Attrition]]="Yes",1,0)</f>
        <v>0</v>
      </c>
    </row>
    <row r="604" spans="1:36">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c r="AJ604">
        <f>IF(tblHRAnalytics[[#This Row],[Attrition]]="Yes",1,0)</f>
        <v>0</v>
      </c>
    </row>
    <row r="605" spans="1:36">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c r="AJ605">
        <f>IF(tblHRAnalytics[[#This Row],[Attrition]]="Yes",1,0)</f>
        <v>0</v>
      </c>
    </row>
    <row r="606" spans="1:36">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c r="AJ606">
        <f>IF(tblHRAnalytics[[#This Row],[Attrition]]="Yes",1,0)</f>
        <v>0</v>
      </c>
    </row>
    <row r="607" spans="1:36">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c r="AJ607">
        <f>IF(tblHRAnalytics[[#This Row],[Attrition]]="Yes",1,0)</f>
        <v>0</v>
      </c>
    </row>
    <row r="608" spans="1:36">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c r="AJ608">
        <f>IF(tblHRAnalytics[[#This Row],[Attrition]]="Yes",1,0)</f>
        <v>0</v>
      </c>
    </row>
    <row r="609" spans="1:36">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c r="AJ609">
        <f>IF(tblHRAnalytics[[#This Row],[Attrition]]="Yes",1,0)</f>
        <v>1</v>
      </c>
    </row>
    <row r="610" spans="1:36">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c r="AJ610">
        <f>IF(tblHRAnalytics[[#This Row],[Attrition]]="Yes",1,0)</f>
        <v>1</v>
      </c>
    </row>
    <row r="611" spans="1:36">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c r="AJ611">
        <f>IF(tblHRAnalytics[[#This Row],[Attrition]]="Yes",1,0)</f>
        <v>0</v>
      </c>
    </row>
    <row r="612" spans="1:36">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c r="AJ612">
        <f>IF(tblHRAnalytics[[#This Row],[Attrition]]="Yes",1,0)</f>
        <v>0</v>
      </c>
    </row>
    <row r="613" spans="1:36">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c r="AJ613">
        <f>IF(tblHRAnalytics[[#This Row],[Attrition]]="Yes",1,0)</f>
        <v>0</v>
      </c>
    </row>
    <row r="614" spans="1:36">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c r="AJ614">
        <f>IF(tblHRAnalytics[[#This Row],[Attrition]]="Yes",1,0)</f>
        <v>0</v>
      </c>
    </row>
    <row r="615" spans="1:36">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c r="AJ615">
        <f>IF(tblHRAnalytics[[#This Row],[Attrition]]="Yes",1,0)</f>
        <v>0</v>
      </c>
    </row>
    <row r="616" spans="1:36">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c r="AJ616">
        <f>IF(tblHRAnalytics[[#This Row],[Attrition]]="Yes",1,0)</f>
        <v>1</v>
      </c>
    </row>
    <row r="617" spans="1:36">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c r="AJ617">
        <f>IF(tblHRAnalytics[[#This Row],[Attrition]]="Yes",1,0)</f>
        <v>0</v>
      </c>
    </row>
    <row r="618" spans="1:36">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c r="AJ618">
        <f>IF(tblHRAnalytics[[#This Row],[Attrition]]="Yes",1,0)</f>
        <v>0</v>
      </c>
    </row>
    <row r="619" spans="1:36">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c r="AJ619">
        <f>IF(tblHRAnalytics[[#This Row],[Attrition]]="Yes",1,0)</f>
        <v>0</v>
      </c>
    </row>
    <row r="620" spans="1:36">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c r="AJ620">
        <f>IF(tblHRAnalytics[[#This Row],[Attrition]]="Yes",1,0)</f>
        <v>0</v>
      </c>
    </row>
    <row r="621" spans="1:36">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c r="AJ621">
        <f>IF(tblHRAnalytics[[#This Row],[Attrition]]="Yes",1,0)</f>
        <v>0</v>
      </c>
    </row>
    <row r="622" spans="1:36">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c r="AJ622">
        <f>IF(tblHRAnalytics[[#This Row],[Attrition]]="Yes",1,0)</f>
        <v>0</v>
      </c>
    </row>
    <row r="623" spans="1:36">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c r="AJ623">
        <f>IF(tblHRAnalytics[[#This Row],[Attrition]]="Yes",1,0)</f>
        <v>0</v>
      </c>
    </row>
    <row r="624" spans="1:36">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c r="AJ624">
        <f>IF(tblHRAnalytics[[#This Row],[Attrition]]="Yes",1,0)</f>
        <v>0</v>
      </c>
    </row>
    <row r="625" spans="1:36">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c r="AJ625">
        <f>IF(tblHRAnalytics[[#This Row],[Attrition]]="Yes",1,0)</f>
        <v>0</v>
      </c>
    </row>
    <row r="626" spans="1:36">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c r="AJ626">
        <f>IF(tblHRAnalytics[[#This Row],[Attrition]]="Yes",1,0)</f>
        <v>0</v>
      </c>
    </row>
    <row r="627" spans="1:36">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c r="AJ627">
        <f>IF(tblHRAnalytics[[#This Row],[Attrition]]="Yes",1,0)</f>
        <v>0</v>
      </c>
    </row>
    <row r="628" spans="1:36">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c r="AJ628">
        <f>IF(tblHRAnalytics[[#This Row],[Attrition]]="Yes",1,0)</f>
        <v>0</v>
      </c>
    </row>
    <row r="629" spans="1:36">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c r="AJ629">
        <f>IF(tblHRAnalytics[[#This Row],[Attrition]]="Yes",1,0)</f>
        <v>0</v>
      </c>
    </row>
    <row r="630" spans="1:36">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c r="AJ630">
        <f>IF(tblHRAnalytics[[#This Row],[Attrition]]="Yes",1,0)</f>
        <v>0</v>
      </c>
    </row>
    <row r="631" spans="1:36">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c r="AJ631">
        <f>IF(tblHRAnalytics[[#This Row],[Attrition]]="Yes",1,0)</f>
        <v>0</v>
      </c>
    </row>
    <row r="632" spans="1:36">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c r="AJ632">
        <f>IF(tblHRAnalytics[[#This Row],[Attrition]]="Yes",1,0)</f>
        <v>0</v>
      </c>
    </row>
    <row r="633" spans="1:36">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c r="AJ633">
        <f>IF(tblHRAnalytics[[#This Row],[Attrition]]="Yes",1,0)</f>
        <v>0</v>
      </c>
    </row>
    <row r="634" spans="1:36">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c r="AJ634">
        <f>IF(tblHRAnalytics[[#This Row],[Attrition]]="Yes",1,0)</f>
        <v>0</v>
      </c>
    </row>
    <row r="635" spans="1:36">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c r="AJ635">
        <f>IF(tblHRAnalytics[[#This Row],[Attrition]]="Yes",1,0)</f>
        <v>0</v>
      </c>
    </row>
    <row r="636" spans="1:36">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c r="AJ636">
        <f>IF(tblHRAnalytics[[#This Row],[Attrition]]="Yes",1,0)</f>
        <v>0</v>
      </c>
    </row>
    <row r="637" spans="1:36">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c r="AJ637">
        <f>IF(tblHRAnalytics[[#This Row],[Attrition]]="Yes",1,0)</f>
        <v>0</v>
      </c>
    </row>
    <row r="638" spans="1:36">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c r="AJ638">
        <f>IF(tblHRAnalytics[[#This Row],[Attrition]]="Yes",1,0)</f>
        <v>1</v>
      </c>
    </row>
    <row r="639" spans="1:36">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c r="AJ639">
        <f>IF(tblHRAnalytics[[#This Row],[Attrition]]="Yes",1,0)</f>
        <v>0</v>
      </c>
    </row>
    <row r="640" spans="1:36">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c r="AJ640">
        <f>IF(tblHRAnalytics[[#This Row],[Attrition]]="Yes",1,0)</f>
        <v>0</v>
      </c>
    </row>
    <row r="641" spans="1:36">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c r="AJ641">
        <f>IF(tblHRAnalytics[[#This Row],[Attrition]]="Yes",1,0)</f>
        <v>0</v>
      </c>
    </row>
    <row r="642" spans="1:36">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c r="AJ642">
        <f>IF(tblHRAnalytics[[#This Row],[Attrition]]="Yes",1,0)</f>
        <v>0</v>
      </c>
    </row>
    <row r="643" spans="1:36">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c r="AJ643">
        <f>IF(tblHRAnalytics[[#This Row],[Attrition]]="Yes",1,0)</f>
        <v>0</v>
      </c>
    </row>
    <row r="644" spans="1:36">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c r="AJ644">
        <f>IF(tblHRAnalytics[[#This Row],[Attrition]]="Yes",1,0)</f>
        <v>0</v>
      </c>
    </row>
    <row r="645" spans="1:36">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c r="AJ645">
        <f>IF(tblHRAnalytics[[#This Row],[Attrition]]="Yes",1,0)</f>
        <v>0</v>
      </c>
    </row>
    <row r="646" spans="1:36">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c r="AJ646">
        <f>IF(tblHRAnalytics[[#This Row],[Attrition]]="Yes",1,0)</f>
        <v>0</v>
      </c>
    </row>
    <row r="647" spans="1:36">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c r="AJ647">
        <f>IF(tblHRAnalytics[[#This Row],[Attrition]]="Yes",1,0)</f>
        <v>1</v>
      </c>
    </row>
    <row r="648" spans="1:36">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c r="AJ648">
        <f>IF(tblHRAnalytics[[#This Row],[Attrition]]="Yes",1,0)</f>
        <v>0</v>
      </c>
    </row>
    <row r="649" spans="1:36">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c r="AJ649">
        <f>IF(tblHRAnalytics[[#This Row],[Attrition]]="Yes",1,0)</f>
        <v>0</v>
      </c>
    </row>
    <row r="650" spans="1:36">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c r="AJ650">
        <f>IF(tblHRAnalytics[[#This Row],[Attrition]]="Yes",1,0)</f>
        <v>0</v>
      </c>
    </row>
    <row r="651" spans="1:36">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c r="AJ651">
        <f>IF(tblHRAnalytics[[#This Row],[Attrition]]="Yes",1,0)</f>
        <v>0</v>
      </c>
    </row>
    <row r="652" spans="1:36">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c r="AJ652">
        <f>IF(tblHRAnalytics[[#This Row],[Attrition]]="Yes",1,0)</f>
        <v>0</v>
      </c>
    </row>
    <row r="653" spans="1:36">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c r="AJ653">
        <f>IF(tblHRAnalytics[[#This Row],[Attrition]]="Yes",1,0)</f>
        <v>0</v>
      </c>
    </row>
    <row r="654" spans="1:36">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c r="AJ654">
        <f>IF(tblHRAnalytics[[#This Row],[Attrition]]="Yes",1,0)</f>
        <v>0</v>
      </c>
    </row>
    <row r="655" spans="1:36">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c r="AJ655">
        <f>IF(tblHRAnalytics[[#This Row],[Attrition]]="Yes",1,0)</f>
        <v>0</v>
      </c>
    </row>
    <row r="656" spans="1:36">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c r="AJ656">
        <f>IF(tblHRAnalytics[[#This Row],[Attrition]]="Yes",1,0)</f>
        <v>0</v>
      </c>
    </row>
    <row r="657" spans="1:36">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c r="AJ657">
        <f>IF(tblHRAnalytics[[#This Row],[Attrition]]="Yes",1,0)</f>
        <v>0</v>
      </c>
    </row>
    <row r="658" spans="1:36">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c r="AJ658">
        <f>IF(tblHRAnalytics[[#This Row],[Attrition]]="Yes",1,0)</f>
        <v>1</v>
      </c>
    </row>
    <row r="659" spans="1:36">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c r="AJ659">
        <f>IF(tblHRAnalytics[[#This Row],[Attrition]]="Yes",1,0)</f>
        <v>0</v>
      </c>
    </row>
    <row r="660" spans="1:36">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c r="AJ660">
        <f>IF(tblHRAnalytics[[#This Row],[Attrition]]="Yes",1,0)</f>
        <v>0</v>
      </c>
    </row>
    <row r="661" spans="1:36">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c r="AJ661">
        <f>IF(tblHRAnalytics[[#This Row],[Attrition]]="Yes",1,0)</f>
        <v>0</v>
      </c>
    </row>
    <row r="662" spans="1:36">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c r="AJ662">
        <f>IF(tblHRAnalytics[[#This Row],[Attrition]]="Yes",1,0)</f>
        <v>1</v>
      </c>
    </row>
    <row r="663" spans="1:36">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c r="AJ663">
        <f>IF(tblHRAnalytics[[#This Row],[Attrition]]="Yes",1,0)</f>
        <v>0</v>
      </c>
    </row>
    <row r="664" spans="1:36">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c r="AJ664">
        <f>IF(tblHRAnalytics[[#This Row],[Attrition]]="Yes",1,0)</f>
        <v>1</v>
      </c>
    </row>
    <row r="665" spans="1:36">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c r="AJ665">
        <f>IF(tblHRAnalytics[[#This Row],[Attrition]]="Yes",1,0)</f>
        <v>1</v>
      </c>
    </row>
    <row r="666" spans="1:36">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c r="AJ666">
        <f>IF(tblHRAnalytics[[#This Row],[Attrition]]="Yes",1,0)</f>
        <v>0</v>
      </c>
    </row>
    <row r="667" spans="1:36">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c r="AJ667">
        <f>IF(tblHRAnalytics[[#This Row],[Attrition]]="Yes",1,0)</f>
        <v>0</v>
      </c>
    </row>
    <row r="668" spans="1:36">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c r="AJ668">
        <f>IF(tblHRAnalytics[[#This Row],[Attrition]]="Yes",1,0)</f>
        <v>1</v>
      </c>
    </row>
    <row r="669" spans="1:36">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c r="AJ669">
        <f>IF(tblHRAnalytics[[#This Row],[Attrition]]="Yes",1,0)</f>
        <v>1</v>
      </c>
    </row>
    <row r="670" spans="1:36">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c r="AJ670">
        <f>IF(tblHRAnalytics[[#This Row],[Attrition]]="Yes",1,0)</f>
        <v>0</v>
      </c>
    </row>
    <row r="671" spans="1:36">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c r="AJ671">
        <f>IF(tblHRAnalytics[[#This Row],[Attrition]]="Yes",1,0)</f>
        <v>1</v>
      </c>
    </row>
    <row r="672" spans="1:36">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c r="AJ672">
        <f>IF(tblHRAnalytics[[#This Row],[Attrition]]="Yes",1,0)</f>
        <v>0</v>
      </c>
    </row>
    <row r="673" spans="1:36">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c r="AJ673">
        <f>IF(tblHRAnalytics[[#This Row],[Attrition]]="Yes",1,0)</f>
        <v>0</v>
      </c>
    </row>
    <row r="674" spans="1:36">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c r="AJ674">
        <f>IF(tblHRAnalytics[[#This Row],[Attrition]]="Yes",1,0)</f>
        <v>0</v>
      </c>
    </row>
    <row r="675" spans="1:36">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c r="AJ675">
        <f>IF(tblHRAnalytics[[#This Row],[Attrition]]="Yes",1,0)</f>
        <v>0</v>
      </c>
    </row>
    <row r="676" spans="1:36">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c r="AJ676">
        <f>IF(tblHRAnalytics[[#This Row],[Attrition]]="Yes",1,0)</f>
        <v>0</v>
      </c>
    </row>
    <row r="677" spans="1:36">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c r="AJ677">
        <f>IF(tblHRAnalytics[[#This Row],[Attrition]]="Yes",1,0)</f>
        <v>0</v>
      </c>
    </row>
    <row r="678" spans="1:36">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c r="AJ678">
        <f>IF(tblHRAnalytics[[#This Row],[Attrition]]="Yes",1,0)</f>
        <v>0</v>
      </c>
    </row>
    <row r="679" spans="1:36">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c r="AJ679">
        <f>IF(tblHRAnalytics[[#This Row],[Attrition]]="Yes",1,0)</f>
        <v>0</v>
      </c>
    </row>
    <row r="680" spans="1:36">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c r="AJ680">
        <f>IF(tblHRAnalytics[[#This Row],[Attrition]]="Yes",1,0)</f>
        <v>0</v>
      </c>
    </row>
    <row r="681" spans="1:36">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c r="AJ681">
        <f>IF(tblHRAnalytics[[#This Row],[Attrition]]="Yes",1,0)</f>
        <v>0</v>
      </c>
    </row>
    <row r="682" spans="1:36">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c r="AJ682">
        <f>IF(tblHRAnalytics[[#This Row],[Attrition]]="Yes",1,0)</f>
        <v>0</v>
      </c>
    </row>
    <row r="683" spans="1:36">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c r="AJ683">
        <f>IF(tblHRAnalytics[[#This Row],[Attrition]]="Yes",1,0)</f>
        <v>0</v>
      </c>
    </row>
    <row r="684" spans="1:36">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c r="AJ684">
        <f>IF(tblHRAnalytics[[#This Row],[Attrition]]="Yes",1,0)</f>
        <v>0</v>
      </c>
    </row>
    <row r="685" spans="1:36">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c r="AJ685">
        <f>IF(tblHRAnalytics[[#This Row],[Attrition]]="Yes",1,0)</f>
        <v>1</v>
      </c>
    </row>
    <row r="686" spans="1:36">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c r="AJ686">
        <f>IF(tblHRAnalytics[[#This Row],[Attrition]]="Yes",1,0)</f>
        <v>0</v>
      </c>
    </row>
    <row r="687" spans="1:36">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c r="AJ687">
        <f>IF(tblHRAnalytics[[#This Row],[Attrition]]="Yes",1,0)</f>
        <v>0</v>
      </c>
    </row>
    <row r="688" spans="1:36">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c r="AJ688">
        <f>IF(tblHRAnalytics[[#This Row],[Attrition]]="Yes",1,0)</f>
        <v>0</v>
      </c>
    </row>
    <row r="689" spans="1:36">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c r="AJ689">
        <f>IF(tblHRAnalytics[[#This Row],[Attrition]]="Yes",1,0)</f>
        <v>0</v>
      </c>
    </row>
    <row r="690" spans="1:36">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c r="AJ690">
        <f>IF(tblHRAnalytics[[#This Row],[Attrition]]="Yes",1,0)</f>
        <v>1</v>
      </c>
    </row>
    <row r="691" spans="1:36">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c r="AJ691">
        <f>IF(tblHRAnalytics[[#This Row],[Attrition]]="Yes",1,0)</f>
        <v>1</v>
      </c>
    </row>
    <row r="692" spans="1:36">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c r="AJ692">
        <f>IF(tblHRAnalytics[[#This Row],[Attrition]]="Yes",1,0)</f>
        <v>0</v>
      </c>
    </row>
    <row r="693" spans="1:36">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c r="AJ693">
        <f>IF(tblHRAnalytics[[#This Row],[Attrition]]="Yes",1,0)</f>
        <v>0</v>
      </c>
    </row>
    <row r="694" spans="1:36">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c r="AJ694">
        <f>IF(tblHRAnalytics[[#This Row],[Attrition]]="Yes",1,0)</f>
        <v>0</v>
      </c>
    </row>
    <row r="695" spans="1:36">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c r="AJ695">
        <f>IF(tblHRAnalytics[[#This Row],[Attrition]]="Yes",1,0)</f>
        <v>1</v>
      </c>
    </row>
    <row r="696" spans="1:36">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c r="AJ696">
        <f>IF(tblHRAnalytics[[#This Row],[Attrition]]="Yes",1,0)</f>
        <v>0</v>
      </c>
    </row>
    <row r="697" spans="1:36">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c r="AJ697">
        <f>IF(tblHRAnalytics[[#This Row],[Attrition]]="Yes",1,0)</f>
        <v>1</v>
      </c>
    </row>
    <row r="698" spans="1:36">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c r="AJ698">
        <f>IF(tblHRAnalytics[[#This Row],[Attrition]]="Yes",1,0)</f>
        <v>0</v>
      </c>
    </row>
    <row r="699" spans="1:36">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c r="AJ699">
        <f>IF(tblHRAnalytics[[#This Row],[Attrition]]="Yes",1,0)</f>
        <v>0</v>
      </c>
    </row>
    <row r="700" spans="1:36">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c r="AJ700">
        <f>IF(tblHRAnalytics[[#This Row],[Attrition]]="Yes",1,0)</f>
        <v>0</v>
      </c>
    </row>
    <row r="701" spans="1:36">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c r="AJ701">
        <f>IF(tblHRAnalytics[[#This Row],[Attrition]]="Yes",1,0)</f>
        <v>0</v>
      </c>
    </row>
    <row r="702" spans="1:36">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c r="AJ702">
        <f>IF(tblHRAnalytics[[#This Row],[Attrition]]="Yes",1,0)</f>
        <v>1</v>
      </c>
    </row>
    <row r="703" spans="1:36">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c r="AJ703">
        <f>IF(tblHRAnalytics[[#This Row],[Attrition]]="Yes",1,0)</f>
        <v>0</v>
      </c>
    </row>
    <row r="704" spans="1:36">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c r="AJ704">
        <f>IF(tblHRAnalytics[[#This Row],[Attrition]]="Yes",1,0)</f>
        <v>0</v>
      </c>
    </row>
    <row r="705" spans="1:36">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c r="AJ705">
        <f>IF(tblHRAnalytics[[#This Row],[Attrition]]="Yes",1,0)</f>
        <v>0</v>
      </c>
    </row>
    <row r="706" spans="1:36">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c r="AJ706">
        <f>IF(tblHRAnalytics[[#This Row],[Attrition]]="Yes",1,0)</f>
        <v>0</v>
      </c>
    </row>
    <row r="707" spans="1:36">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c r="AJ707">
        <f>IF(tblHRAnalytics[[#This Row],[Attrition]]="Yes",1,0)</f>
        <v>0</v>
      </c>
    </row>
    <row r="708" spans="1:36">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c r="AJ708">
        <f>IF(tblHRAnalytics[[#This Row],[Attrition]]="Yes",1,0)</f>
        <v>1</v>
      </c>
    </row>
    <row r="709" spans="1:36">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c r="AJ709">
        <f>IF(tblHRAnalytics[[#This Row],[Attrition]]="Yes",1,0)</f>
        <v>0</v>
      </c>
    </row>
    <row r="710" spans="1:36">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c r="AJ710">
        <f>IF(tblHRAnalytics[[#This Row],[Attrition]]="Yes",1,0)</f>
        <v>0</v>
      </c>
    </row>
    <row r="711" spans="1:36">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c r="AJ711">
        <f>IF(tblHRAnalytics[[#This Row],[Attrition]]="Yes",1,0)</f>
        <v>1</v>
      </c>
    </row>
    <row r="712" spans="1:36">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c r="AJ712">
        <f>IF(tblHRAnalytics[[#This Row],[Attrition]]="Yes",1,0)</f>
        <v>0</v>
      </c>
    </row>
    <row r="713" spans="1:36">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c r="AJ713">
        <f>IF(tblHRAnalytics[[#This Row],[Attrition]]="Yes",1,0)</f>
        <v>1</v>
      </c>
    </row>
    <row r="714" spans="1:36">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c r="AJ714">
        <f>IF(tblHRAnalytics[[#This Row],[Attrition]]="Yes",1,0)</f>
        <v>0</v>
      </c>
    </row>
    <row r="715" spans="1:36">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c r="AJ715">
        <f>IF(tblHRAnalytics[[#This Row],[Attrition]]="Yes",1,0)</f>
        <v>0</v>
      </c>
    </row>
    <row r="716" spans="1:36">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c r="AJ716">
        <f>IF(tblHRAnalytics[[#This Row],[Attrition]]="Yes",1,0)</f>
        <v>0</v>
      </c>
    </row>
    <row r="717" spans="1:36">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c r="AJ717">
        <f>IF(tblHRAnalytics[[#This Row],[Attrition]]="Yes",1,0)</f>
        <v>0</v>
      </c>
    </row>
    <row r="718" spans="1:36">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c r="AJ718">
        <f>IF(tblHRAnalytics[[#This Row],[Attrition]]="Yes",1,0)</f>
        <v>0</v>
      </c>
    </row>
    <row r="719" spans="1:36">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c r="AJ719">
        <f>IF(tblHRAnalytics[[#This Row],[Attrition]]="Yes",1,0)</f>
        <v>0</v>
      </c>
    </row>
    <row r="720" spans="1:36">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c r="AJ720">
        <f>IF(tblHRAnalytics[[#This Row],[Attrition]]="Yes",1,0)</f>
        <v>0</v>
      </c>
    </row>
    <row r="721" spans="1:36">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c r="AJ721">
        <f>IF(tblHRAnalytics[[#This Row],[Attrition]]="Yes",1,0)</f>
        <v>0</v>
      </c>
    </row>
    <row r="722" spans="1:36">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c r="AJ722">
        <f>IF(tblHRAnalytics[[#This Row],[Attrition]]="Yes",1,0)</f>
        <v>1</v>
      </c>
    </row>
    <row r="723" spans="1:36">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c r="AJ723">
        <f>IF(tblHRAnalytics[[#This Row],[Attrition]]="Yes",1,0)</f>
        <v>0</v>
      </c>
    </row>
    <row r="724" spans="1:36">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c r="AJ724">
        <f>IF(tblHRAnalytics[[#This Row],[Attrition]]="Yes",1,0)</f>
        <v>0</v>
      </c>
    </row>
    <row r="725" spans="1:36">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c r="AJ725">
        <f>IF(tblHRAnalytics[[#This Row],[Attrition]]="Yes",1,0)</f>
        <v>0</v>
      </c>
    </row>
    <row r="726" spans="1:36">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c r="AJ726">
        <f>IF(tblHRAnalytics[[#This Row],[Attrition]]="Yes",1,0)</f>
        <v>0</v>
      </c>
    </row>
    <row r="727" spans="1:36">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c r="AJ727">
        <f>IF(tblHRAnalytics[[#This Row],[Attrition]]="Yes",1,0)</f>
        <v>1</v>
      </c>
    </row>
    <row r="728" spans="1:36">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c r="AJ728">
        <f>IF(tblHRAnalytics[[#This Row],[Attrition]]="Yes",1,0)</f>
        <v>0</v>
      </c>
    </row>
    <row r="729" spans="1:36">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c r="AJ729">
        <f>IF(tblHRAnalytics[[#This Row],[Attrition]]="Yes",1,0)</f>
        <v>0</v>
      </c>
    </row>
    <row r="730" spans="1:36">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c r="AJ730">
        <f>IF(tblHRAnalytics[[#This Row],[Attrition]]="Yes",1,0)</f>
        <v>0</v>
      </c>
    </row>
    <row r="731" spans="1:36">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c r="AJ731">
        <f>IF(tblHRAnalytics[[#This Row],[Attrition]]="Yes",1,0)</f>
        <v>0</v>
      </c>
    </row>
    <row r="732" spans="1:36">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c r="AJ732">
        <f>IF(tblHRAnalytics[[#This Row],[Attrition]]="Yes",1,0)</f>
        <v>0</v>
      </c>
    </row>
    <row r="733" spans="1:36">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c r="AJ733">
        <f>IF(tblHRAnalytics[[#This Row],[Attrition]]="Yes",1,0)</f>
        <v>1</v>
      </c>
    </row>
    <row r="734" spans="1:36">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c r="AJ734">
        <f>IF(tblHRAnalytics[[#This Row],[Attrition]]="Yes",1,0)</f>
        <v>1</v>
      </c>
    </row>
    <row r="735" spans="1:36">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c r="AJ735">
        <f>IF(tblHRAnalytics[[#This Row],[Attrition]]="Yes",1,0)</f>
        <v>0</v>
      </c>
    </row>
    <row r="736" spans="1:36">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c r="AJ736">
        <f>IF(tblHRAnalytics[[#This Row],[Attrition]]="Yes",1,0)</f>
        <v>0</v>
      </c>
    </row>
    <row r="737" spans="1:36">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c r="AJ737">
        <f>IF(tblHRAnalytics[[#This Row],[Attrition]]="Yes",1,0)</f>
        <v>0</v>
      </c>
    </row>
    <row r="738" spans="1:36">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c r="AJ738">
        <f>IF(tblHRAnalytics[[#This Row],[Attrition]]="Yes",1,0)</f>
        <v>0</v>
      </c>
    </row>
    <row r="739" spans="1:36">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c r="AJ739">
        <f>IF(tblHRAnalytics[[#This Row],[Attrition]]="Yes",1,0)</f>
        <v>0</v>
      </c>
    </row>
    <row r="740" spans="1:36">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c r="AJ740">
        <f>IF(tblHRAnalytics[[#This Row],[Attrition]]="Yes",1,0)</f>
        <v>0</v>
      </c>
    </row>
    <row r="741" spans="1:36">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c r="AJ741">
        <f>IF(tblHRAnalytics[[#This Row],[Attrition]]="Yes",1,0)</f>
        <v>0</v>
      </c>
    </row>
    <row r="742" spans="1:36">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c r="AJ742">
        <f>IF(tblHRAnalytics[[#This Row],[Attrition]]="Yes",1,0)</f>
        <v>0</v>
      </c>
    </row>
    <row r="743" spans="1:36">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c r="AJ743">
        <f>IF(tblHRAnalytics[[#This Row],[Attrition]]="Yes",1,0)</f>
        <v>0</v>
      </c>
    </row>
    <row r="744" spans="1:36">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c r="AJ744">
        <f>IF(tblHRAnalytics[[#This Row],[Attrition]]="Yes",1,0)</f>
        <v>0</v>
      </c>
    </row>
    <row r="745" spans="1:36">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c r="AJ745">
        <f>IF(tblHRAnalytics[[#This Row],[Attrition]]="Yes",1,0)</f>
        <v>0</v>
      </c>
    </row>
    <row r="746" spans="1:36">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c r="AJ746">
        <f>IF(tblHRAnalytics[[#This Row],[Attrition]]="Yes",1,0)</f>
        <v>1</v>
      </c>
    </row>
    <row r="747" spans="1:36">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c r="AJ747">
        <f>IF(tblHRAnalytics[[#This Row],[Attrition]]="Yes",1,0)</f>
        <v>0</v>
      </c>
    </row>
    <row r="748" spans="1:36">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c r="AJ748">
        <f>IF(tblHRAnalytics[[#This Row],[Attrition]]="Yes",1,0)</f>
        <v>0</v>
      </c>
    </row>
    <row r="749" spans="1:36">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c r="AJ749">
        <f>IF(tblHRAnalytics[[#This Row],[Attrition]]="Yes",1,0)</f>
        <v>0</v>
      </c>
    </row>
    <row r="750" spans="1:36">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c r="AJ750">
        <f>IF(tblHRAnalytics[[#This Row],[Attrition]]="Yes",1,0)</f>
        <v>1</v>
      </c>
    </row>
    <row r="751" spans="1:36">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c r="AJ751">
        <f>IF(tblHRAnalytics[[#This Row],[Attrition]]="Yes",1,0)</f>
        <v>1</v>
      </c>
    </row>
    <row r="752" spans="1:36">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c r="AJ752">
        <f>IF(tblHRAnalytics[[#This Row],[Attrition]]="Yes",1,0)</f>
        <v>0</v>
      </c>
    </row>
    <row r="753" spans="1:36">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c r="AJ753">
        <f>IF(tblHRAnalytics[[#This Row],[Attrition]]="Yes",1,0)</f>
        <v>0</v>
      </c>
    </row>
    <row r="754" spans="1:36">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c r="AJ754">
        <f>IF(tblHRAnalytics[[#This Row],[Attrition]]="Yes",1,0)</f>
        <v>1</v>
      </c>
    </row>
    <row r="755" spans="1:36">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c r="AJ755">
        <f>IF(tblHRAnalytics[[#This Row],[Attrition]]="Yes",1,0)</f>
        <v>0</v>
      </c>
    </row>
    <row r="756" spans="1:36">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c r="AJ756">
        <f>IF(tblHRAnalytics[[#This Row],[Attrition]]="Yes",1,0)</f>
        <v>0</v>
      </c>
    </row>
    <row r="757" spans="1:36">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c r="AJ757">
        <f>IF(tblHRAnalytics[[#This Row],[Attrition]]="Yes",1,0)</f>
        <v>0</v>
      </c>
    </row>
    <row r="758" spans="1:36">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c r="AJ758">
        <f>IF(tblHRAnalytics[[#This Row],[Attrition]]="Yes",1,0)</f>
        <v>0</v>
      </c>
    </row>
    <row r="759" spans="1:36">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c r="AJ759">
        <f>IF(tblHRAnalytics[[#This Row],[Attrition]]="Yes",1,0)</f>
        <v>0</v>
      </c>
    </row>
    <row r="760" spans="1:36">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c r="AJ760">
        <f>IF(tblHRAnalytics[[#This Row],[Attrition]]="Yes",1,0)</f>
        <v>0</v>
      </c>
    </row>
    <row r="761" spans="1:36">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c r="AJ761">
        <f>IF(tblHRAnalytics[[#This Row],[Attrition]]="Yes",1,0)</f>
        <v>0</v>
      </c>
    </row>
    <row r="762" spans="1:36">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c r="AJ762">
        <f>IF(tblHRAnalytics[[#This Row],[Attrition]]="Yes",1,0)</f>
        <v>0</v>
      </c>
    </row>
    <row r="763" spans="1:36">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c r="AJ763">
        <f>IF(tblHRAnalytics[[#This Row],[Attrition]]="Yes",1,0)</f>
        <v>1</v>
      </c>
    </row>
    <row r="764" spans="1:36">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c r="AJ764">
        <f>IF(tblHRAnalytics[[#This Row],[Attrition]]="Yes",1,0)</f>
        <v>1</v>
      </c>
    </row>
    <row r="765" spans="1:36">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c r="AJ765">
        <f>IF(tblHRAnalytics[[#This Row],[Attrition]]="Yes",1,0)</f>
        <v>0</v>
      </c>
    </row>
    <row r="766" spans="1:36">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c r="AJ766">
        <f>IF(tblHRAnalytics[[#This Row],[Attrition]]="Yes",1,0)</f>
        <v>0</v>
      </c>
    </row>
    <row r="767" spans="1:36">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c r="AJ767">
        <f>IF(tblHRAnalytics[[#This Row],[Attrition]]="Yes",1,0)</f>
        <v>0</v>
      </c>
    </row>
    <row r="768" spans="1:36">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c r="AJ768">
        <f>IF(tblHRAnalytics[[#This Row],[Attrition]]="Yes",1,0)</f>
        <v>0</v>
      </c>
    </row>
    <row r="769" spans="1:36">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c r="AJ769">
        <f>IF(tblHRAnalytics[[#This Row],[Attrition]]="Yes",1,0)</f>
        <v>0</v>
      </c>
    </row>
    <row r="770" spans="1:36">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c r="AJ770">
        <f>IF(tblHRAnalytics[[#This Row],[Attrition]]="Yes",1,0)</f>
        <v>0</v>
      </c>
    </row>
    <row r="771" spans="1:36">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c r="AJ771">
        <f>IF(tblHRAnalytics[[#This Row],[Attrition]]="Yes",1,0)</f>
        <v>0</v>
      </c>
    </row>
    <row r="772" spans="1:36">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c r="AJ772">
        <f>IF(tblHRAnalytics[[#This Row],[Attrition]]="Yes",1,0)</f>
        <v>0</v>
      </c>
    </row>
    <row r="773" spans="1:36">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c r="AJ773">
        <f>IF(tblHRAnalytics[[#This Row],[Attrition]]="Yes",1,0)</f>
        <v>0</v>
      </c>
    </row>
    <row r="774" spans="1:36">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c r="AJ774">
        <f>IF(tblHRAnalytics[[#This Row],[Attrition]]="Yes",1,0)</f>
        <v>0</v>
      </c>
    </row>
    <row r="775" spans="1:36">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c r="AJ775">
        <f>IF(tblHRAnalytics[[#This Row],[Attrition]]="Yes",1,0)</f>
        <v>0</v>
      </c>
    </row>
    <row r="776" spans="1:36">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c r="AJ776">
        <f>IF(tblHRAnalytics[[#This Row],[Attrition]]="Yes",1,0)</f>
        <v>0</v>
      </c>
    </row>
    <row r="777" spans="1:36">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c r="AJ777">
        <f>IF(tblHRAnalytics[[#This Row],[Attrition]]="Yes",1,0)</f>
        <v>0</v>
      </c>
    </row>
    <row r="778" spans="1:36">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c r="AJ778">
        <f>IF(tblHRAnalytics[[#This Row],[Attrition]]="Yes",1,0)</f>
        <v>1</v>
      </c>
    </row>
    <row r="779" spans="1:36">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c r="AJ779">
        <f>IF(tblHRAnalytics[[#This Row],[Attrition]]="Yes",1,0)</f>
        <v>1</v>
      </c>
    </row>
    <row r="780" spans="1:36">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c r="AJ780">
        <f>IF(tblHRAnalytics[[#This Row],[Attrition]]="Yes",1,0)</f>
        <v>0</v>
      </c>
    </row>
    <row r="781" spans="1:36">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c r="AJ781">
        <f>IF(tblHRAnalytics[[#This Row],[Attrition]]="Yes",1,0)</f>
        <v>1</v>
      </c>
    </row>
    <row r="782" spans="1:36">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c r="AJ782">
        <f>IF(tblHRAnalytics[[#This Row],[Attrition]]="Yes",1,0)</f>
        <v>1</v>
      </c>
    </row>
    <row r="783" spans="1:36">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c r="AJ783">
        <f>IF(tblHRAnalytics[[#This Row],[Attrition]]="Yes",1,0)</f>
        <v>0</v>
      </c>
    </row>
    <row r="784" spans="1:36">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c r="AJ784">
        <f>IF(tblHRAnalytics[[#This Row],[Attrition]]="Yes",1,0)</f>
        <v>0</v>
      </c>
    </row>
    <row r="785" spans="1:36">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c r="AJ785">
        <f>IF(tblHRAnalytics[[#This Row],[Attrition]]="Yes",1,0)</f>
        <v>0</v>
      </c>
    </row>
    <row r="786" spans="1:36">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c r="AJ786">
        <f>IF(tblHRAnalytics[[#This Row],[Attrition]]="Yes",1,0)</f>
        <v>0</v>
      </c>
    </row>
    <row r="787" spans="1:36">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c r="AJ787">
        <f>IF(tblHRAnalytics[[#This Row],[Attrition]]="Yes",1,0)</f>
        <v>0</v>
      </c>
    </row>
    <row r="788" spans="1:36">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c r="AJ788">
        <f>IF(tblHRAnalytics[[#This Row],[Attrition]]="Yes",1,0)</f>
        <v>0</v>
      </c>
    </row>
    <row r="789" spans="1:36">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c r="AJ789">
        <f>IF(tblHRAnalytics[[#This Row],[Attrition]]="Yes",1,0)</f>
        <v>0</v>
      </c>
    </row>
    <row r="790" spans="1:36">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c r="AJ790">
        <f>IF(tblHRAnalytics[[#This Row],[Attrition]]="Yes",1,0)</f>
        <v>0</v>
      </c>
    </row>
    <row r="791" spans="1:36">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c r="AJ791">
        <f>IF(tblHRAnalytics[[#This Row],[Attrition]]="Yes",1,0)</f>
        <v>1</v>
      </c>
    </row>
    <row r="792" spans="1:36">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c r="AJ792">
        <f>IF(tblHRAnalytics[[#This Row],[Attrition]]="Yes",1,0)</f>
        <v>0</v>
      </c>
    </row>
    <row r="793" spans="1:36">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c r="AJ793">
        <f>IF(tblHRAnalytics[[#This Row],[Attrition]]="Yes",1,0)</f>
        <v>1</v>
      </c>
    </row>
    <row r="794" spans="1:36">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c r="AJ794">
        <f>IF(tblHRAnalytics[[#This Row],[Attrition]]="Yes",1,0)</f>
        <v>1</v>
      </c>
    </row>
    <row r="795" spans="1:36">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c r="AJ795">
        <f>IF(tblHRAnalytics[[#This Row],[Attrition]]="Yes",1,0)</f>
        <v>0</v>
      </c>
    </row>
    <row r="796" spans="1:36">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c r="AJ796">
        <f>IF(tblHRAnalytics[[#This Row],[Attrition]]="Yes",1,0)</f>
        <v>0</v>
      </c>
    </row>
    <row r="797" spans="1:36">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c r="AJ797">
        <f>IF(tblHRAnalytics[[#This Row],[Attrition]]="Yes",1,0)</f>
        <v>0</v>
      </c>
    </row>
    <row r="798" spans="1:36">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c r="AJ798">
        <f>IF(tblHRAnalytics[[#This Row],[Attrition]]="Yes",1,0)</f>
        <v>1</v>
      </c>
    </row>
    <row r="799" spans="1:36">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c r="AJ799">
        <f>IF(tblHRAnalytics[[#This Row],[Attrition]]="Yes",1,0)</f>
        <v>1</v>
      </c>
    </row>
    <row r="800" spans="1:36">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c r="AJ800">
        <f>IF(tblHRAnalytics[[#This Row],[Attrition]]="Yes",1,0)</f>
        <v>1</v>
      </c>
    </row>
    <row r="801" spans="1:36">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c r="AJ801">
        <f>IF(tblHRAnalytics[[#This Row],[Attrition]]="Yes",1,0)</f>
        <v>0</v>
      </c>
    </row>
    <row r="802" spans="1:36">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c r="AJ802">
        <f>IF(tblHRAnalytics[[#This Row],[Attrition]]="Yes",1,0)</f>
        <v>1</v>
      </c>
    </row>
    <row r="803" spans="1:36">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c r="AJ803">
        <f>IF(tblHRAnalytics[[#This Row],[Attrition]]="Yes",1,0)</f>
        <v>1</v>
      </c>
    </row>
    <row r="804" spans="1:36">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c r="AJ804">
        <f>IF(tblHRAnalytics[[#This Row],[Attrition]]="Yes",1,0)</f>
        <v>0</v>
      </c>
    </row>
    <row r="805" spans="1:36">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c r="AJ805">
        <f>IF(tblHRAnalytics[[#This Row],[Attrition]]="Yes",1,0)</f>
        <v>0</v>
      </c>
    </row>
    <row r="806" spans="1:36">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c r="AJ806">
        <f>IF(tblHRAnalytics[[#This Row],[Attrition]]="Yes",1,0)</f>
        <v>0</v>
      </c>
    </row>
    <row r="807" spans="1:36">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c r="AJ807">
        <f>IF(tblHRAnalytics[[#This Row],[Attrition]]="Yes",1,0)</f>
        <v>0</v>
      </c>
    </row>
    <row r="808" spans="1:36">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c r="AJ808">
        <f>IF(tblHRAnalytics[[#This Row],[Attrition]]="Yes",1,0)</f>
        <v>0</v>
      </c>
    </row>
    <row r="809" spans="1:36">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c r="AJ809">
        <f>IF(tblHRAnalytics[[#This Row],[Attrition]]="Yes",1,0)</f>
        <v>0</v>
      </c>
    </row>
    <row r="810" spans="1:36">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c r="AJ810">
        <f>IF(tblHRAnalytics[[#This Row],[Attrition]]="Yes",1,0)</f>
        <v>0</v>
      </c>
    </row>
    <row r="811" spans="1:36">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c r="AJ811">
        <f>IF(tblHRAnalytics[[#This Row],[Attrition]]="Yes",1,0)</f>
        <v>0</v>
      </c>
    </row>
    <row r="812" spans="1:36">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c r="AJ812">
        <f>IF(tblHRAnalytics[[#This Row],[Attrition]]="Yes",1,0)</f>
        <v>0</v>
      </c>
    </row>
    <row r="813" spans="1:36">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c r="AJ813">
        <f>IF(tblHRAnalytics[[#This Row],[Attrition]]="Yes",1,0)</f>
        <v>0</v>
      </c>
    </row>
    <row r="814" spans="1:36">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c r="AJ814">
        <f>IF(tblHRAnalytics[[#This Row],[Attrition]]="Yes",1,0)</f>
        <v>0</v>
      </c>
    </row>
    <row r="815" spans="1:36">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c r="AJ815">
        <f>IF(tblHRAnalytics[[#This Row],[Attrition]]="Yes",1,0)</f>
        <v>1</v>
      </c>
    </row>
    <row r="816" spans="1:36">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c r="AJ816">
        <f>IF(tblHRAnalytics[[#This Row],[Attrition]]="Yes",1,0)</f>
        <v>0</v>
      </c>
    </row>
    <row r="817" spans="1:36">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c r="AJ817">
        <f>IF(tblHRAnalytics[[#This Row],[Attrition]]="Yes",1,0)</f>
        <v>0</v>
      </c>
    </row>
    <row r="818" spans="1:36">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c r="AJ818">
        <f>IF(tblHRAnalytics[[#This Row],[Attrition]]="Yes",1,0)</f>
        <v>0</v>
      </c>
    </row>
    <row r="819" spans="1:36">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c r="AJ819">
        <f>IF(tblHRAnalytics[[#This Row],[Attrition]]="Yes",1,0)</f>
        <v>0</v>
      </c>
    </row>
    <row r="820" spans="1:36">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c r="AJ820">
        <f>IF(tblHRAnalytics[[#This Row],[Attrition]]="Yes",1,0)</f>
        <v>0</v>
      </c>
    </row>
    <row r="821" spans="1:36">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c r="AJ821">
        <f>IF(tblHRAnalytics[[#This Row],[Attrition]]="Yes",1,0)</f>
        <v>0</v>
      </c>
    </row>
    <row r="822" spans="1:36">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c r="AJ822">
        <f>IF(tblHRAnalytics[[#This Row],[Attrition]]="Yes",1,0)</f>
        <v>0</v>
      </c>
    </row>
    <row r="823" spans="1:36">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c r="AJ823">
        <f>IF(tblHRAnalytics[[#This Row],[Attrition]]="Yes",1,0)</f>
        <v>0</v>
      </c>
    </row>
    <row r="824" spans="1:36">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c r="AJ824">
        <f>IF(tblHRAnalytics[[#This Row],[Attrition]]="Yes",1,0)</f>
        <v>0</v>
      </c>
    </row>
    <row r="825" spans="1:36">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c r="AJ825">
        <f>IF(tblHRAnalytics[[#This Row],[Attrition]]="Yes",1,0)</f>
        <v>0</v>
      </c>
    </row>
    <row r="826" spans="1:36">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c r="AJ826">
        <f>IF(tblHRAnalytics[[#This Row],[Attrition]]="Yes",1,0)</f>
        <v>0</v>
      </c>
    </row>
    <row r="827" spans="1:36">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c r="AJ827">
        <f>IF(tblHRAnalytics[[#This Row],[Attrition]]="Yes",1,0)</f>
        <v>0</v>
      </c>
    </row>
    <row r="828" spans="1:36">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c r="AJ828">
        <f>IF(tblHRAnalytics[[#This Row],[Attrition]]="Yes",1,0)</f>
        <v>0</v>
      </c>
    </row>
    <row r="829" spans="1:36">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c r="AJ829">
        <f>IF(tblHRAnalytics[[#This Row],[Attrition]]="Yes",1,0)</f>
        <v>0</v>
      </c>
    </row>
    <row r="830" spans="1:36">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c r="AJ830">
        <f>IF(tblHRAnalytics[[#This Row],[Attrition]]="Yes",1,0)</f>
        <v>1</v>
      </c>
    </row>
    <row r="831" spans="1:36">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c r="AJ831">
        <f>IF(tblHRAnalytics[[#This Row],[Attrition]]="Yes",1,0)</f>
        <v>1</v>
      </c>
    </row>
    <row r="832" spans="1:36">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c r="AJ832">
        <f>IF(tblHRAnalytics[[#This Row],[Attrition]]="Yes",1,0)</f>
        <v>0</v>
      </c>
    </row>
    <row r="833" spans="1:36">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c r="AJ833">
        <f>IF(tblHRAnalytics[[#This Row],[Attrition]]="Yes",1,0)</f>
        <v>1</v>
      </c>
    </row>
    <row r="834" spans="1:36">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c r="AJ834">
        <f>IF(tblHRAnalytics[[#This Row],[Attrition]]="Yes",1,0)</f>
        <v>0</v>
      </c>
    </row>
    <row r="835" spans="1:36">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c r="AJ835">
        <f>IF(tblHRAnalytics[[#This Row],[Attrition]]="Yes",1,0)</f>
        <v>0</v>
      </c>
    </row>
    <row r="836" spans="1:36">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c r="AJ836">
        <f>IF(tblHRAnalytics[[#This Row],[Attrition]]="Yes",1,0)</f>
        <v>0</v>
      </c>
    </row>
    <row r="837" spans="1:36">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c r="AJ837">
        <f>IF(tblHRAnalytics[[#This Row],[Attrition]]="Yes",1,0)</f>
        <v>0</v>
      </c>
    </row>
    <row r="838" spans="1:36">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c r="AJ838">
        <f>IF(tblHRAnalytics[[#This Row],[Attrition]]="Yes",1,0)</f>
        <v>1</v>
      </c>
    </row>
    <row r="839" spans="1:36">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c r="AJ839">
        <f>IF(tblHRAnalytics[[#This Row],[Attrition]]="Yes",1,0)</f>
        <v>0</v>
      </c>
    </row>
    <row r="840" spans="1:36">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c r="AJ840">
        <f>IF(tblHRAnalytics[[#This Row],[Attrition]]="Yes",1,0)</f>
        <v>1</v>
      </c>
    </row>
    <row r="841" spans="1:36">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c r="AJ841">
        <f>IF(tblHRAnalytics[[#This Row],[Attrition]]="Yes",1,0)</f>
        <v>0</v>
      </c>
    </row>
    <row r="842" spans="1:36">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c r="AJ842">
        <f>IF(tblHRAnalytics[[#This Row],[Attrition]]="Yes",1,0)</f>
        <v>0</v>
      </c>
    </row>
    <row r="843" spans="1:36">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c r="AJ843">
        <f>IF(tblHRAnalytics[[#This Row],[Attrition]]="Yes",1,0)</f>
        <v>0</v>
      </c>
    </row>
    <row r="844" spans="1:36">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c r="AJ844">
        <f>IF(tblHRAnalytics[[#This Row],[Attrition]]="Yes",1,0)</f>
        <v>1</v>
      </c>
    </row>
    <row r="845" spans="1:36">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c r="AJ845">
        <f>IF(tblHRAnalytics[[#This Row],[Attrition]]="Yes",1,0)</f>
        <v>0</v>
      </c>
    </row>
    <row r="846" spans="1:36">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c r="AJ846">
        <f>IF(tblHRAnalytics[[#This Row],[Attrition]]="Yes",1,0)</f>
        <v>0</v>
      </c>
    </row>
    <row r="847" spans="1:36">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c r="AJ847">
        <f>IF(tblHRAnalytics[[#This Row],[Attrition]]="Yes",1,0)</f>
        <v>0</v>
      </c>
    </row>
    <row r="848" spans="1:36">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c r="AJ848">
        <f>IF(tblHRAnalytics[[#This Row],[Attrition]]="Yes",1,0)</f>
        <v>0</v>
      </c>
    </row>
    <row r="849" spans="1:36">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c r="AJ849">
        <f>IF(tblHRAnalytics[[#This Row],[Attrition]]="Yes",1,0)</f>
        <v>0</v>
      </c>
    </row>
    <row r="850" spans="1:36">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c r="AJ850">
        <f>IF(tblHRAnalytics[[#This Row],[Attrition]]="Yes",1,0)</f>
        <v>0</v>
      </c>
    </row>
    <row r="851" spans="1:36">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c r="AJ851">
        <f>IF(tblHRAnalytics[[#This Row],[Attrition]]="Yes",1,0)</f>
        <v>1</v>
      </c>
    </row>
    <row r="852" spans="1:36">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c r="AJ852">
        <f>IF(tblHRAnalytics[[#This Row],[Attrition]]="Yes",1,0)</f>
        <v>0</v>
      </c>
    </row>
    <row r="853" spans="1:36">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c r="AJ853">
        <f>IF(tblHRAnalytics[[#This Row],[Attrition]]="Yes",1,0)</f>
        <v>0</v>
      </c>
    </row>
    <row r="854" spans="1:36">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c r="AJ854">
        <f>IF(tblHRAnalytics[[#This Row],[Attrition]]="Yes",1,0)</f>
        <v>0</v>
      </c>
    </row>
    <row r="855" spans="1:36">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c r="AJ855">
        <f>IF(tblHRAnalytics[[#This Row],[Attrition]]="Yes",1,0)</f>
        <v>0</v>
      </c>
    </row>
    <row r="856" spans="1:36">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c r="AJ856">
        <f>IF(tblHRAnalytics[[#This Row],[Attrition]]="Yes",1,0)</f>
        <v>0</v>
      </c>
    </row>
    <row r="857" spans="1:36">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c r="AJ857">
        <f>IF(tblHRAnalytics[[#This Row],[Attrition]]="Yes",1,0)</f>
        <v>0</v>
      </c>
    </row>
    <row r="858" spans="1:36">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c r="AJ858">
        <f>IF(tblHRAnalytics[[#This Row],[Attrition]]="Yes",1,0)</f>
        <v>0</v>
      </c>
    </row>
    <row r="859" spans="1:36">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c r="AJ859">
        <f>IF(tblHRAnalytics[[#This Row],[Attrition]]="Yes",1,0)</f>
        <v>1</v>
      </c>
    </row>
    <row r="860" spans="1:36">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c r="AJ860">
        <f>IF(tblHRAnalytics[[#This Row],[Attrition]]="Yes",1,0)</f>
        <v>0</v>
      </c>
    </row>
    <row r="861" spans="1:36">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c r="AJ861">
        <f>IF(tblHRAnalytics[[#This Row],[Attrition]]="Yes",1,0)</f>
        <v>0</v>
      </c>
    </row>
    <row r="862" spans="1:36">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c r="AJ862">
        <f>IF(tblHRAnalytics[[#This Row],[Attrition]]="Yes",1,0)</f>
        <v>1</v>
      </c>
    </row>
    <row r="863" spans="1:36">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c r="AJ863">
        <f>IF(tblHRAnalytics[[#This Row],[Attrition]]="Yes",1,0)</f>
        <v>0</v>
      </c>
    </row>
    <row r="864" spans="1:36">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c r="AJ864">
        <f>IF(tblHRAnalytics[[#This Row],[Attrition]]="Yes",1,0)</f>
        <v>0</v>
      </c>
    </row>
    <row r="865" spans="1:36">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c r="AJ865">
        <f>IF(tblHRAnalytics[[#This Row],[Attrition]]="Yes",1,0)</f>
        <v>0</v>
      </c>
    </row>
    <row r="866" spans="1:36">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c r="AJ866">
        <f>IF(tblHRAnalytics[[#This Row],[Attrition]]="Yes",1,0)</f>
        <v>1</v>
      </c>
    </row>
    <row r="867" spans="1:36">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c r="AJ867">
        <f>IF(tblHRAnalytics[[#This Row],[Attrition]]="Yes",1,0)</f>
        <v>0</v>
      </c>
    </row>
    <row r="868" spans="1:36">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c r="AJ868">
        <f>IF(tblHRAnalytics[[#This Row],[Attrition]]="Yes",1,0)</f>
        <v>0</v>
      </c>
    </row>
    <row r="869" spans="1:36">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c r="AJ869">
        <f>IF(tblHRAnalytics[[#This Row],[Attrition]]="Yes",1,0)</f>
        <v>0</v>
      </c>
    </row>
    <row r="870" spans="1:36">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c r="AJ870">
        <f>IF(tblHRAnalytics[[#This Row],[Attrition]]="Yes",1,0)</f>
        <v>0</v>
      </c>
    </row>
    <row r="871" spans="1:36">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c r="AJ871">
        <f>IF(tblHRAnalytics[[#This Row],[Attrition]]="Yes",1,0)</f>
        <v>0</v>
      </c>
    </row>
    <row r="872" spans="1:36">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c r="AJ872">
        <f>IF(tblHRAnalytics[[#This Row],[Attrition]]="Yes",1,0)</f>
        <v>0</v>
      </c>
    </row>
    <row r="873" spans="1:36">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c r="AJ873">
        <f>IF(tblHRAnalytics[[#This Row],[Attrition]]="Yes",1,0)</f>
        <v>1</v>
      </c>
    </row>
    <row r="874" spans="1:36">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c r="AJ874">
        <f>IF(tblHRAnalytics[[#This Row],[Attrition]]="Yes",1,0)</f>
        <v>0</v>
      </c>
    </row>
    <row r="875" spans="1:36">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c r="AJ875">
        <f>IF(tblHRAnalytics[[#This Row],[Attrition]]="Yes",1,0)</f>
        <v>0</v>
      </c>
    </row>
    <row r="876" spans="1:36">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c r="AJ876">
        <f>IF(tblHRAnalytics[[#This Row],[Attrition]]="Yes",1,0)</f>
        <v>0</v>
      </c>
    </row>
    <row r="877" spans="1:36">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c r="AJ877">
        <f>IF(tblHRAnalytics[[#This Row],[Attrition]]="Yes",1,0)</f>
        <v>0</v>
      </c>
    </row>
    <row r="878" spans="1:36">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c r="AJ878">
        <f>IF(tblHRAnalytics[[#This Row],[Attrition]]="Yes",1,0)</f>
        <v>0</v>
      </c>
    </row>
    <row r="879" spans="1:36">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c r="AJ879">
        <f>IF(tblHRAnalytics[[#This Row],[Attrition]]="Yes",1,0)</f>
        <v>0</v>
      </c>
    </row>
    <row r="880" spans="1:36">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c r="AJ880">
        <f>IF(tblHRAnalytics[[#This Row],[Attrition]]="Yes",1,0)</f>
        <v>0</v>
      </c>
    </row>
    <row r="881" spans="1:36">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c r="AJ881">
        <f>IF(tblHRAnalytics[[#This Row],[Attrition]]="Yes",1,0)</f>
        <v>0</v>
      </c>
    </row>
    <row r="882" spans="1:36">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c r="AJ882">
        <f>IF(tblHRAnalytics[[#This Row],[Attrition]]="Yes",1,0)</f>
        <v>0</v>
      </c>
    </row>
    <row r="883" spans="1:36">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c r="AJ883">
        <f>IF(tblHRAnalytics[[#This Row],[Attrition]]="Yes",1,0)</f>
        <v>0</v>
      </c>
    </row>
    <row r="884" spans="1:36">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c r="AJ884">
        <f>IF(tblHRAnalytics[[#This Row],[Attrition]]="Yes",1,0)</f>
        <v>0</v>
      </c>
    </row>
    <row r="885" spans="1:36">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c r="AJ885">
        <f>IF(tblHRAnalytics[[#This Row],[Attrition]]="Yes",1,0)</f>
        <v>0</v>
      </c>
    </row>
    <row r="886" spans="1:36">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c r="AJ886">
        <f>IF(tblHRAnalytics[[#This Row],[Attrition]]="Yes",1,0)</f>
        <v>0</v>
      </c>
    </row>
    <row r="887" spans="1:36">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c r="AJ887">
        <f>IF(tblHRAnalytics[[#This Row],[Attrition]]="Yes",1,0)</f>
        <v>0</v>
      </c>
    </row>
    <row r="888" spans="1:36">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c r="AJ888">
        <f>IF(tblHRAnalytics[[#This Row],[Attrition]]="Yes",1,0)</f>
        <v>0</v>
      </c>
    </row>
    <row r="889" spans="1:36">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c r="AJ889">
        <f>IF(tblHRAnalytics[[#This Row],[Attrition]]="Yes",1,0)</f>
        <v>0</v>
      </c>
    </row>
    <row r="890" spans="1:36">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c r="AJ890">
        <f>IF(tblHRAnalytics[[#This Row],[Attrition]]="Yes",1,0)</f>
        <v>0</v>
      </c>
    </row>
    <row r="891" spans="1:36">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c r="AJ891">
        <f>IF(tblHRAnalytics[[#This Row],[Attrition]]="Yes",1,0)</f>
        <v>0</v>
      </c>
    </row>
    <row r="892" spans="1:36">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c r="AJ892">
        <f>IF(tblHRAnalytics[[#This Row],[Attrition]]="Yes",1,0)</f>
        <v>0</v>
      </c>
    </row>
    <row r="893" spans="1:36">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c r="AJ893">
        <f>IF(tblHRAnalytics[[#This Row],[Attrition]]="Yes",1,0)</f>
        <v>0</v>
      </c>
    </row>
    <row r="894" spans="1:36">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c r="AJ894">
        <f>IF(tblHRAnalytics[[#This Row],[Attrition]]="Yes",1,0)</f>
        <v>1</v>
      </c>
    </row>
    <row r="895" spans="1:36">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c r="AJ895">
        <f>IF(tblHRAnalytics[[#This Row],[Attrition]]="Yes",1,0)</f>
        <v>0</v>
      </c>
    </row>
    <row r="896" spans="1:36">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c r="AJ896">
        <f>IF(tblHRAnalytics[[#This Row],[Attrition]]="Yes",1,0)</f>
        <v>0</v>
      </c>
    </row>
    <row r="897" spans="1:36">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c r="AJ897">
        <f>IF(tblHRAnalytics[[#This Row],[Attrition]]="Yes",1,0)</f>
        <v>0</v>
      </c>
    </row>
    <row r="898" spans="1:36">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c r="AJ898">
        <f>IF(tblHRAnalytics[[#This Row],[Attrition]]="Yes",1,0)</f>
        <v>0</v>
      </c>
    </row>
    <row r="899" spans="1:36">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c r="AJ899">
        <f>IF(tblHRAnalytics[[#This Row],[Attrition]]="Yes",1,0)</f>
        <v>0</v>
      </c>
    </row>
    <row r="900" spans="1:36">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c r="AJ900">
        <f>IF(tblHRAnalytics[[#This Row],[Attrition]]="Yes",1,0)</f>
        <v>0</v>
      </c>
    </row>
    <row r="901" spans="1:36">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c r="AJ901">
        <f>IF(tblHRAnalytics[[#This Row],[Attrition]]="Yes",1,0)</f>
        <v>0</v>
      </c>
    </row>
    <row r="902" spans="1:36">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c r="AJ902">
        <f>IF(tblHRAnalytics[[#This Row],[Attrition]]="Yes",1,0)</f>
        <v>0</v>
      </c>
    </row>
    <row r="903" spans="1:36">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c r="AJ903">
        <f>IF(tblHRAnalytics[[#This Row],[Attrition]]="Yes",1,0)</f>
        <v>0</v>
      </c>
    </row>
    <row r="904" spans="1:36">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c r="AJ904">
        <f>IF(tblHRAnalytics[[#This Row],[Attrition]]="Yes",1,0)</f>
        <v>0</v>
      </c>
    </row>
    <row r="905" spans="1:36">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c r="AJ905">
        <f>IF(tblHRAnalytics[[#This Row],[Attrition]]="Yes",1,0)</f>
        <v>0</v>
      </c>
    </row>
    <row r="906" spans="1:36">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c r="AJ906">
        <f>IF(tblHRAnalytics[[#This Row],[Attrition]]="Yes",1,0)</f>
        <v>0</v>
      </c>
    </row>
    <row r="907" spans="1:36">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c r="AJ907">
        <f>IF(tblHRAnalytics[[#This Row],[Attrition]]="Yes",1,0)</f>
        <v>0</v>
      </c>
    </row>
    <row r="908" spans="1:36">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c r="AJ908">
        <f>IF(tblHRAnalytics[[#This Row],[Attrition]]="Yes",1,0)</f>
        <v>0</v>
      </c>
    </row>
    <row r="909" spans="1:36">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c r="AJ909">
        <f>IF(tblHRAnalytics[[#This Row],[Attrition]]="Yes",1,0)</f>
        <v>0</v>
      </c>
    </row>
    <row r="910" spans="1:36">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c r="AJ910">
        <f>IF(tblHRAnalytics[[#This Row],[Attrition]]="Yes",1,0)</f>
        <v>0</v>
      </c>
    </row>
    <row r="911" spans="1:36">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c r="AJ911">
        <f>IF(tblHRAnalytics[[#This Row],[Attrition]]="Yes",1,0)</f>
        <v>0</v>
      </c>
    </row>
    <row r="912" spans="1:36">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c r="AJ912">
        <f>IF(tblHRAnalytics[[#This Row],[Attrition]]="Yes",1,0)</f>
        <v>0</v>
      </c>
    </row>
    <row r="913" spans="1:36">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c r="AJ913">
        <f>IF(tblHRAnalytics[[#This Row],[Attrition]]="Yes",1,0)</f>
        <v>1</v>
      </c>
    </row>
    <row r="914" spans="1:36">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c r="AJ914">
        <f>IF(tblHRAnalytics[[#This Row],[Attrition]]="Yes",1,0)</f>
        <v>0</v>
      </c>
    </row>
    <row r="915" spans="1:36">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c r="AJ915">
        <f>IF(tblHRAnalytics[[#This Row],[Attrition]]="Yes",1,0)</f>
        <v>1</v>
      </c>
    </row>
    <row r="916" spans="1:36">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c r="AJ916">
        <f>IF(tblHRAnalytics[[#This Row],[Attrition]]="Yes",1,0)</f>
        <v>0</v>
      </c>
    </row>
    <row r="917" spans="1:36">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c r="AJ917">
        <f>IF(tblHRAnalytics[[#This Row],[Attrition]]="Yes",1,0)</f>
        <v>1</v>
      </c>
    </row>
    <row r="918" spans="1:36">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c r="AJ918">
        <f>IF(tblHRAnalytics[[#This Row],[Attrition]]="Yes",1,0)</f>
        <v>0</v>
      </c>
    </row>
    <row r="919" spans="1:36">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c r="AJ919">
        <f>IF(tblHRAnalytics[[#This Row],[Attrition]]="Yes",1,0)</f>
        <v>0</v>
      </c>
    </row>
    <row r="920" spans="1:36">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c r="AJ920">
        <f>IF(tblHRAnalytics[[#This Row],[Attrition]]="Yes",1,0)</f>
        <v>0</v>
      </c>
    </row>
    <row r="921" spans="1:36">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c r="AJ921">
        <f>IF(tblHRAnalytics[[#This Row],[Attrition]]="Yes",1,0)</f>
        <v>0</v>
      </c>
    </row>
    <row r="922" spans="1:36">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c r="AJ922">
        <f>IF(tblHRAnalytics[[#This Row],[Attrition]]="Yes",1,0)</f>
        <v>0</v>
      </c>
    </row>
    <row r="923" spans="1:36">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c r="AJ923">
        <f>IF(tblHRAnalytics[[#This Row],[Attrition]]="Yes",1,0)</f>
        <v>0</v>
      </c>
    </row>
    <row r="924" spans="1:36">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c r="AJ924">
        <f>IF(tblHRAnalytics[[#This Row],[Attrition]]="Yes",1,0)</f>
        <v>0</v>
      </c>
    </row>
    <row r="925" spans="1:36">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c r="AJ925">
        <f>IF(tblHRAnalytics[[#This Row],[Attrition]]="Yes",1,0)</f>
        <v>0</v>
      </c>
    </row>
    <row r="926" spans="1:36">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c r="AJ926">
        <f>IF(tblHRAnalytics[[#This Row],[Attrition]]="Yes",1,0)</f>
        <v>0</v>
      </c>
    </row>
    <row r="927" spans="1:36">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c r="AJ927">
        <f>IF(tblHRAnalytics[[#This Row],[Attrition]]="Yes",1,0)</f>
        <v>0</v>
      </c>
    </row>
    <row r="928" spans="1:36">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c r="AJ928">
        <f>IF(tblHRAnalytics[[#This Row],[Attrition]]="Yes",1,0)</f>
        <v>0</v>
      </c>
    </row>
    <row r="929" spans="1:36">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c r="AJ929">
        <f>IF(tblHRAnalytics[[#This Row],[Attrition]]="Yes",1,0)</f>
        <v>0</v>
      </c>
    </row>
    <row r="930" spans="1:36">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c r="AJ930">
        <f>IF(tblHRAnalytics[[#This Row],[Attrition]]="Yes",1,0)</f>
        <v>1</v>
      </c>
    </row>
    <row r="931" spans="1:36">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c r="AJ931">
        <f>IF(tblHRAnalytics[[#This Row],[Attrition]]="Yes",1,0)</f>
        <v>0</v>
      </c>
    </row>
    <row r="932" spans="1:36">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c r="AJ932">
        <f>IF(tblHRAnalytics[[#This Row],[Attrition]]="Yes",1,0)</f>
        <v>0</v>
      </c>
    </row>
    <row r="933" spans="1:36">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c r="AJ933">
        <f>IF(tblHRAnalytics[[#This Row],[Attrition]]="Yes",1,0)</f>
        <v>0</v>
      </c>
    </row>
    <row r="934" spans="1:36">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c r="AJ934">
        <f>IF(tblHRAnalytics[[#This Row],[Attrition]]="Yes",1,0)</f>
        <v>1</v>
      </c>
    </row>
    <row r="935" spans="1:36">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c r="AJ935">
        <f>IF(tblHRAnalytics[[#This Row],[Attrition]]="Yes",1,0)</f>
        <v>0</v>
      </c>
    </row>
    <row r="936" spans="1:36">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c r="AJ936">
        <f>IF(tblHRAnalytics[[#This Row],[Attrition]]="Yes",1,0)</f>
        <v>0</v>
      </c>
    </row>
    <row r="937" spans="1:36">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c r="AJ937">
        <f>IF(tblHRAnalytics[[#This Row],[Attrition]]="Yes",1,0)</f>
        <v>0</v>
      </c>
    </row>
    <row r="938" spans="1:36">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c r="AJ938">
        <f>IF(tblHRAnalytics[[#This Row],[Attrition]]="Yes",1,0)</f>
        <v>0</v>
      </c>
    </row>
    <row r="939" spans="1:36">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c r="AJ939">
        <f>IF(tblHRAnalytics[[#This Row],[Attrition]]="Yes",1,0)</f>
        <v>0</v>
      </c>
    </row>
    <row r="940" spans="1:36">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c r="AJ940">
        <f>IF(tblHRAnalytics[[#This Row],[Attrition]]="Yes",1,0)</f>
        <v>0</v>
      </c>
    </row>
    <row r="941" spans="1:36">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c r="AJ941">
        <f>IF(tblHRAnalytics[[#This Row],[Attrition]]="Yes",1,0)</f>
        <v>1</v>
      </c>
    </row>
    <row r="942" spans="1:36">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c r="AJ942">
        <f>IF(tblHRAnalytics[[#This Row],[Attrition]]="Yes",1,0)</f>
        <v>1</v>
      </c>
    </row>
    <row r="943" spans="1:36">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c r="AJ943">
        <f>IF(tblHRAnalytics[[#This Row],[Attrition]]="Yes",1,0)</f>
        <v>0</v>
      </c>
    </row>
    <row r="944" spans="1:36">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c r="AJ944">
        <f>IF(tblHRAnalytics[[#This Row],[Attrition]]="Yes",1,0)</f>
        <v>0</v>
      </c>
    </row>
    <row r="945" spans="1:36">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c r="AJ945">
        <f>IF(tblHRAnalytics[[#This Row],[Attrition]]="Yes",1,0)</f>
        <v>0</v>
      </c>
    </row>
    <row r="946" spans="1:36">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c r="AJ946">
        <f>IF(tblHRAnalytics[[#This Row],[Attrition]]="Yes",1,0)</f>
        <v>0</v>
      </c>
    </row>
    <row r="947" spans="1:36">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c r="AJ947">
        <f>IF(tblHRAnalytics[[#This Row],[Attrition]]="Yes",1,0)</f>
        <v>0</v>
      </c>
    </row>
    <row r="948" spans="1:36">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c r="AJ948">
        <f>IF(tblHRAnalytics[[#This Row],[Attrition]]="Yes",1,0)</f>
        <v>1</v>
      </c>
    </row>
    <row r="949" spans="1:36">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c r="AJ949">
        <f>IF(tblHRAnalytics[[#This Row],[Attrition]]="Yes",1,0)</f>
        <v>1</v>
      </c>
    </row>
    <row r="950" spans="1:36">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c r="AJ950">
        <f>IF(tblHRAnalytics[[#This Row],[Attrition]]="Yes",1,0)</f>
        <v>0</v>
      </c>
    </row>
    <row r="951" spans="1:36">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c r="AJ951">
        <f>IF(tblHRAnalytics[[#This Row],[Attrition]]="Yes",1,0)</f>
        <v>0</v>
      </c>
    </row>
    <row r="952" spans="1:36">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c r="AJ952">
        <f>IF(tblHRAnalytics[[#This Row],[Attrition]]="Yes",1,0)</f>
        <v>0</v>
      </c>
    </row>
    <row r="953" spans="1:36">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c r="AJ953">
        <f>IF(tblHRAnalytics[[#This Row],[Attrition]]="Yes",1,0)</f>
        <v>0</v>
      </c>
    </row>
    <row r="954" spans="1:36">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c r="AJ954">
        <f>IF(tblHRAnalytics[[#This Row],[Attrition]]="Yes",1,0)</f>
        <v>1</v>
      </c>
    </row>
    <row r="955" spans="1:36">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c r="AJ955">
        <f>IF(tblHRAnalytics[[#This Row],[Attrition]]="Yes",1,0)</f>
        <v>1</v>
      </c>
    </row>
    <row r="956" spans="1:36">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c r="AJ956">
        <f>IF(tblHRAnalytics[[#This Row],[Attrition]]="Yes",1,0)</f>
        <v>0</v>
      </c>
    </row>
    <row r="957" spans="1:36">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c r="AJ957">
        <f>IF(tblHRAnalytics[[#This Row],[Attrition]]="Yes",1,0)</f>
        <v>0</v>
      </c>
    </row>
    <row r="958" spans="1:36">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c r="AJ958">
        <f>IF(tblHRAnalytics[[#This Row],[Attrition]]="Yes",1,0)</f>
        <v>0</v>
      </c>
    </row>
    <row r="959" spans="1:36">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c r="AJ959">
        <f>IF(tblHRAnalytics[[#This Row],[Attrition]]="Yes",1,0)</f>
        <v>0</v>
      </c>
    </row>
    <row r="960" spans="1:36">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c r="AJ960">
        <f>IF(tblHRAnalytics[[#This Row],[Attrition]]="Yes",1,0)</f>
        <v>0</v>
      </c>
    </row>
    <row r="961" spans="1:36">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c r="AJ961">
        <f>IF(tblHRAnalytics[[#This Row],[Attrition]]="Yes",1,0)</f>
        <v>0</v>
      </c>
    </row>
    <row r="962" spans="1:36">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c r="AJ962">
        <f>IF(tblHRAnalytics[[#This Row],[Attrition]]="Yes",1,0)</f>
        <v>0</v>
      </c>
    </row>
    <row r="963" spans="1:36">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c r="AJ963">
        <f>IF(tblHRAnalytics[[#This Row],[Attrition]]="Yes",1,0)</f>
        <v>0</v>
      </c>
    </row>
    <row r="964" spans="1:36">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c r="AJ964">
        <f>IF(tblHRAnalytics[[#This Row],[Attrition]]="Yes",1,0)</f>
        <v>0</v>
      </c>
    </row>
    <row r="965" spans="1:36">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c r="AJ965">
        <f>IF(tblHRAnalytics[[#This Row],[Attrition]]="Yes",1,0)</f>
        <v>0</v>
      </c>
    </row>
    <row r="966" spans="1:36">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c r="AJ966">
        <f>IF(tblHRAnalytics[[#This Row],[Attrition]]="Yes",1,0)</f>
        <v>0</v>
      </c>
    </row>
    <row r="967" spans="1:36">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c r="AJ967">
        <f>IF(tblHRAnalytics[[#This Row],[Attrition]]="Yes",1,0)</f>
        <v>0</v>
      </c>
    </row>
    <row r="968" spans="1:36">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c r="AJ968">
        <f>IF(tblHRAnalytics[[#This Row],[Attrition]]="Yes",1,0)</f>
        <v>1</v>
      </c>
    </row>
    <row r="969" spans="1:36">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c r="AJ969">
        <f>IF(tblHRAnalytics[[#This Row],[Attrition]]="Yes",1,0)</f>
        <v>0</v>
      </c>
    </row>
    <row r="970" spans="1:36">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c r="AJ970">
        <f>IF(tblHRAnalytics[[#This Row],[Attrition]]="Yes",1,0)</f>
        <v>0</v>
      </c>
    </row>
    <row r="971" spans="1:36">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c r="AJ971">
        <f>IF(tblHRAnalytics[[#This Row],[Attrition]]="Yes",1,0)</f>
        <v>0</v>
      </c>
    </row>
    <row r="972" spans="1:36">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c r="AJ972">
        <f>IF(tblHRAnalytics[[#This Row],[Attrition]]="Yes",1,0)</f>
        <v>0</v>
      </c>
    </row>
    <row r="973" spans="1:36">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c r="AJ973">
        <f>IF(tblHRAnalytics[[#This Row],[Attrition]]="Yes",1,0)</f>
        <v>0</v>
      </c>
    </row>
    <row r="974" spans="1:36">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c r="AJ974">
        <f>IF(tblHRAnalytics[[#This Row],[Attrition]]="Yes",1,0)</f>
        <v>0</v>
      </c>
    </row>
    <row r="975" spans="1:36">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c r="AJ975">
        <f>IF(tblHRAnalytics[[#This Row],[Attrition]]="Yes",1,0)</f>
        <v>0</v>
      </c>
    </row>
    <row r="976" spans="1:36">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c r="AJ976">
        <f>IF(tblHRAnalytics[[#This Row],[Attrition]]="Yes",1,0)</f>
        <v>0</v>
      </c>
    </row>
    <row r="977" spans="1:36">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c r="AJ977">
        <f>IF(tblHRAnalytics[[#This Row],[Attrition]]="Yes",1,0)</f>
        <v>1</v>
      </c>
    </row>
    <row r="978" spans="1:36">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c r="AJ978">
        <f>IF(tblHRAnalytics[[#This Row],[Attrition]]="Yes",1,0)</f>
        <v>0</v>
      </c>
    </row>
    <row r="979" spans="1:36">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c r="AJ979">
        <f>IF(tblHRAnalytics[[#This Row],[Attrition]]="Yes",1,0)</f>
        <v>0</v>
      </c>
    </row>
    <row r="980" spans="1:36">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c r="AJ980">
        <f>IF(tblHRAnalytics[[#This Row],[Attrition]]="Yes",1,0)</f>
        <v>0</v>
      </c>
    </row>
    <row r="981" spans="1:36">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c r="AJ981">
        <f>IF(tblHRAnalytics[[#This Row],[Attrition]]="Yes",1,0)</f>
        <v>0</v>
      </c>
    </row>
    <row r="982" spans="1:36">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c r="AJ982">
        <f>IF(tblHRAnalytics[[#This Row],[Attrition]]="Yes",1,0)</f>
        <v>1</v>
      </c>
    </row>
    <row r="983" spans="1:36">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c r="AJ983">
        <f>IF(tblHRAnalytics[[#This Row],[Attrition]]="Yes",1,0)</f>
        <v>1</v>
      </c>
    </row>
    <row r="984" spans="1:36">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c r="AJ984">
        <f>IF(tblHRAnalytics[[#This Row],[Attrition]]="Yes",1,0)</f>
        <v>0</v>
      </c>
    </row>
    <row r="985" spans="1:36">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c r="AJ985">
        <f>IF(tblHRAnalytics[[#This Row],[Attrition]]="Yes",1,0)</f>
        <v>0</v>
      </c>
    </row>
    <row r="986" spans="1:36">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c r="AJ986">
        <f>IF(tblHRAnalytics[[#This Row],[Attrition]]="Yes",1,0)</f>
        <v>0</v>
      </c>
    </row>
    <row r="987" spans="1:36">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c r="AJ987">
        <f>IF(tblHRAnalytics[[#This Row],[Attrition]]="Yes",1,0)</f>
        <v>1</v>
      </c>
    </row>
    <row r="988" spans="1:36">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c r="AJ988">
        <f>IF(tblHRAnalytics[[#This Row],[Attrition]]="Yes",1,0)</f>
        <v>0</v>
      </c>
    </row>
    <row r="989" spans="1:36">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c r="AJ989">
        <f>IF(tblHRAnalytics[[#This Row],[Attrition]]="Yes",1,0)</f>
        <v>0</v>
      </c>
    </row>
    <row r="990" spans="1:36">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c r="AJ990">
        <f>IF(tblHRAnalytics[[#This Row],[Attrition]]="Yes",1,0)</f>
        <v>0</v>
      </c>
    </row>
    <row r="991" spans="1:36">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c r="AJ991">
        <f>IF(tblHRAnalytics[[#This Row],[Attrition]]="Yes",1,0)</f>
        <v>0</v>
      </c>
    </row>
    <row r="992" spans="1:36">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c r="AJ992">
        <f>IF(tblHRAnalytics[[#This Row],[Attrition]]="Yes",1,0)</f>
        <v>0</v>
      </c>
    </row>
    <row r="993" spans="1:36">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c r="AJ993">
        <f>IF(tblHRAnalytics[[#This Row],[Attrition]]="Yes",1,0)</f>
        <v>0</v>
      </c>
    </row>
    <row r="994" spans="1:36">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c r="AJ994">
        <f>IF(tblHRAnalytics[[#This Row],[Attrition]]="Yes",1,0)</f>
        <v>0</v>
      </c>
    </row>
    <row r="995" spans="1:36">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c r="AJ995">
        <f>IF(tblHRAnalytics[[#This Row],[Attrition]]="Yes",1,0)</f>
        <v>0</v>
      </c>
    </row>
    <row r="996" spans="1:36">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c r="AJ996">
        <f>IF(tblHRAnalytics[[#This Row],[Attrition]]="Yes",1,0)</f>
        <v>0</v>
      </c>
    </row>
    <row r="997" spans="1:36">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c r="AJ997">
        <f>IF(tblHRAnalytics[[#This Row],[Attrition]]="Yes",1,0)</f>
        <v>0</v>
      </c>
    </row>
    <row r="998" spans="1:36">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c r="AJ998">
        <f>IF(tblHRAnalytics[[#This Row],[Attrition]]="Yes",1,0)</f>
        <v>0</v>
      </c>
    </row>
    <row r="999" spans="1:36">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c r="AJ999">
        <f>IF(tblHRAnalytics[[#This Row],[Attrition]]="Yes",1,0)</f>
        <v>1</v>
      </c>
    </row>
    <row r="1000" spans="1:36">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c r="AJ1000">
        <f>IF(tblHRAnalytics[[#This Row],[Attrition]]="Yes",1,0)</f>
        <v>0</v>
      </c>
    </row>
    <row r="1001" spans="1:36">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c r="AJ1001">
        <f>IF(tblHRAnalytics[[#This Row],[Attrition]]="Yes",1,0)</f>
        <v>0</v>
      </c>
    </row>
    <row r="1002" spans="1:36">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c r="AJ1002">
        <f>IF(tblHRAnalytics[[#This Row],[Attrition]]="Yes",1,0)</f>
        <v>0</v>
      </c>
    </row>
    <row r="1003" spans="1:36">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c r="AJ1003">
        <f>IF(tblHRAnalytics[[#This Row],[Attrition]]="Yes",1,0)</f>
        <v>0</v>
      </c>
    </row>
    <row r="1004" spans="1:36">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c r="AJ1004">
        <f>IF(tblHRAnalytics[[#This Row],[Attrition]]="Yes",1,0)</f>
        <v>0</v>
      </c>
    </row>
    <row r="1005" spans="1:36">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c r="AJ1005">
        <f>IF(tblHRAnalytics[[#This Row],[Attrition]]="Yes",1,0)</f>
        <v>0</v>
      </c>
    </row>
    <row r="1006" spans="1:36">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c r="AJ1006">
        <f>IF(tblHRAnalytics[[#This Row],[Attrition]]="Yes",1,0)</f>
        <v>0</v>
      </c>
    </row>
    <row r="1007" spans="1:36">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c r="AJ1007">
        <f>IF(tblHRAnalytics[[#This Row],[Attrition]]="Yes",1,0)</f>
        <v>0</v>
      </c>
    </row>
    <row r="1008" spans="1:36">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c r="AJ1008">
        <f>IF(tblHRAnalytics[[#This Row],[Attrition]]="Yes",1,0)</f>
        <v>1</v>
      </c>
    </row>
    <row r="1009" spans="1:36">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c r="AJ1009">
        <f>IF(tblHRAnalytics[[#This Row],[Attrition]]="Yes",1,0)</f>
        <v>1</v>
      </c>
    </row>
    <row r="1010" spans="1:36">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c r="AJ1010">
        <f>IF(tblHRAnalytics[[#This Row],[Attrition]]="Yes",1,0)</f>
        <v>0</v>
      </c>
    </row>
    <row r="1011" spans="1:36">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c r="AJ1011">
        <f>IF(tblHRAnalytics[[#This Row],[Attrition]]="Yes",1,0)</f>
        <v>0</v>
      </c>
    </row>
    <row r="1012" spans="1:36">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c r="AJ1012">
        <f>IF(tblHRAnalytics[[#This Row],[Attrition]]="Yes",1,0)</f>
        <v>0</v>
      </c>
    </row>
    <row r="1013" spans="1:36">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c r="AJ1013">
        <f>IF(tblHRAnalytics[[#This Row],[Attrition]]="Yes",1,0)</f>
        <v>0</v>
      </c>
    </row>
    <row r="1014" spans="1:36">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c r="AJ1014">
        <f>IF(tblHRAnalytics[[#This Row],[Attrition]]="Yes",1,0)</f>
        <v>1</v>
      </c>
    </row>
    <row r="1015" spans="1:36">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c r="AJ1015">
        <f>IF(tblHRAnalytics[[#This Row],[Attrition]]="Yes",1,0)</f>
        <v>0</v>
      </c>
    </row>
    <row r="1016" spans="1:36">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c r="AJ1016">
        <f>IF(tblHRAnalytics[[#This Row],[Attrition]]="Yes",1,0)</f>
        <v>0</v>
      </c>
    </row>
    <row r="1017" spans="1:36">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c r="AJ1017">
        <f>IF(tblHRAnalytics[[#This Row],[Attrition]]="Yes",1,0)</f>
        <v>0</v>
      </c>
    </row>
    <row r="1018" spans="1:36">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c r="AJ1018">
        <f>IF(tblHRAnalytics[[#This Row],[Attrition]]="Yes",1,0)</f>
        <v>1</v>
      </c>
    </row>
    <row r="1019" spans="1:36">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c r="AJ1019">
        <f>IF(tblHRAnalytics[[#This Row],[Attrition]]="Yes",1,0)</f>
        <v>0</v>
      </c>
    </row>
    <row r="1020" spans="1:36">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c r="AJ1020">
        <f>IF(tblHRAnalytics[[#This Row],[Attrition]]="Yes",1,0)</f>
        <v>0</v>
      </c>
    </row>
    <row r="1021" spans="1:36">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c r="AJ1021">
        <f>IF(tblHRAnalytics[[#This Row],[Attrition]]="Yes",1,0)</f>
        <v>0</v>
      </c>
    </row>
    <row r="1022" spans="1:36">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c r="AJ1022">
        <f>IF(tblHRAnalytics[[#This Row],[Attrition]]="Yes",1,0)</f>
        <v>0</v>
      </c>
    </row>
    <row r="1023" spans="1:36">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c r="AJ1023">
        <f>IF(tblHRAnalytics[[#This Row],[Attrition]]="Yes",1,0)</f>
        <v>1</v>
      </c>
    </row>
    <row r="1024" spans="1:36">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c r="AJ1024">
        <f>IF(tblHRAnalytics[[#This Row],[Attrition]]="Yes",1,0)</f>
        <v>0</v>
      </c>
    </row>
    <row r="1025" spans="1:36">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c r="AJ1025">
        <f>IF(tblHRAnalytics[[#This Row],[Attrition]]="Yes",1,0)</f>
        <v>0</v>
      </c>
    </row>
    <row r="1026" spans="1:36">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c r="AJ1026">
        <f>IF(tblHRAnalytics[[#This Row],[Attrition]]="Yes",1,0)</f>
        <v>0</v>
      </c>
    </row>
    <row r="1027" spans="1:36">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c r="AJ1027">
        <f>IF(tblHRAnalytics[[#This Row],[Attrition]]="Yes",1,0)</f>
        <v>0</v>
      </c>
    </row>
    <row r="1028" spans="1:36">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c r="AJ1028">
        <f>IF(tblHRAnalytics[[#This Row],[Attrition]]="Yes",1,0)</f>
        <v>0</v>
      </c>
    </row>
    <row r="1029" spans="1:36">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c r="AJ1029">
        <f>IF(tblHRAnalytics[[#This Row],[Attrition]]="Yes",1,0)</f>
        <v>0</v>
      </c>
    </row>
    <row r="1030" spans="1:36">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c r="AJ1030">
        <f>IF(tblHRAnalytics[[#This Row],[Attrition]]="Yes",1,0)</f>
        <v>0</v>
      </c>
    </row>
    <row r="1031" spans="1:36">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c r="AJ1031">
        <f>IF(tblHRAnalytics[[#This Row],[Attrition]]="Yes",1,0)</f>
        <v>0</v>
      </c>
    </row>
    <row r="1032" spans="1:36">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c r="AJ1032">
        <f>IF(tblHRAnalytics[[#This Row],[Attrition]]="Yes",1,0)</f>
        <v>0</v>
      </c>
    </row>
    <row r="1033" spans="1:36">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c r="AJ1033">
        <f>IF(tblHRAnalytics[[#This Row],[Attrition]]="Yes",1,0)</f>
        <v>1</v>
      </c>
    </row>
    <row r="1034" spans="1:36">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c r="AJ1034">
        <f>IF(tblHRAnalytics[[#This Row],[Attrition]]="Yes",1,0)</f>
        <v>1</v>
      </c>
    </row>
    <row r="1035" spans="1:36">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c r="AJ1035">
        <f>IF(tblHRAnalytics[[#This Row],[Attrition]]="Yes",1,0)</f>
        <v>1</v>
      </c>
    </row>
    <row r="1036" spans="1:36">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c r="AJ1036">
        <f>IF(tblHRAnalytics[[#This Row],[Attrition]]="Yes",1,0)</f>
        <v>0</v>
      </c>
    </row>
    <row r="1037" spans="1:36">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c r="AJ1037">
        <f>IF(tblHRAnalytics[[#This Row],[Attrition]]="Yes",1,0)</f>
        <v>0</v>
      </c>
    </row>
    <row r="1038" spans="1:36">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c r="AJ1038">
        <f>IF(tblHRAnalytics[[#This Row],[Attrition]]="Yes",1,0)</f>
        <v>1</v>
      </c>
    </row>
    <row r="1039" spans="1:36">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c r="AJ1039">
        <f>IF(tblHRAnalytics[[#This Row],[Attrition]]="Yes",1,0)</f>
        <v>0</v>
      </c>
    </row>
    <row r="1040" spans="1:36">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c r="AJ1040">
        <f>IF(tblHRAnalytics[[#This Row],[Attrition]]="Yes",1,0)</f>
        <v>0</v>
      </c>
    </row>
    <row r="1041" spans="1:36">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c r="AJ1041">
        <f>IF(tblHRAnalytics[[#This Row],[Attrition]]="Yes",1,0)</f>
        <v>1</v>
      </c>
    </row>
    <row r="1042" spans="1:36">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c r="AJ1042">
        <f>IF(tblHRAnalytics[[#This Row],[Attrition]]="Yes",1,0)</f>
        <v>0</v>
      </c>
    </row>
    <row r="1043" spans="1:36">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c r="AJ1043">
        <f>IF(tblHRAnalytics[[#This Row],[Attrition]]="Yes",1,0)</f>
        <v>0</v>
      </c>
    </row>
    <row r="1044" spans="1:36">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c r="AJ1044">
        <f>IF(tblHRAnalytics[[#This Row],[Attrition]]="Yes",1,0)</f>
        <v>0</v>
      </c>
    </row>
    <row r="1045" spans="1:36">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c r="AJ1045">
        <f>IF(tblHRAnalytics[[#This Row],[Attrition]]="Yes",1,0)</f>
        <v>0</v>
      </c>
    </row>
    <row r="1046" spans="1:36">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c r="AJ1046">
        <f>IF(tblHRAnalytics[[#This Row],[Attrition]]="Yes",1,0)</f>
        <v>0</v>
      </c>
    </row>
    <row r="1047" spans="1:36">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c r="AJ1047">
        <f>IF(tblHRAnalytics[[#This Row],[Attrition]]="Yes",1,0)</f>
        <v>0</v>
      </c>
    </row>
    <row r="1048" spans="1:36">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c r="AJ1048">
        <f>IF(tblHRAnalytics[[#This Row],[Attrition]]="Yes",1,0)</f>
        <v>0</v>
      </c>
    </row>
    <row r="1049" spans="1:36">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c r="AJ1049">
        <f>IF(tblHRAnalytics[[#This Row],[Attrition]]="Yes",1,0)</f>
        <v>0</v>
      </c>
    </row>
    <row r="1050" spans="1:36">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c r="AJ1050">
        <f>IF(tblHRAnalytics[[#This Row],[Attrition]]="Yes",1,0)</f>
        <v>0</v>
      </c>
    </row>
    <row r="1051" spans="1:36">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c r="AJ1051">
        <f>IF(tblHRAnalytics[[#This Row],[Attrition]]="Yes",1,0)</f>
        <v>0</v>
      </c>
    </row>
    <row r="1052" spans="1:36">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c r="AJ1052">
        <f>IF(tblHRAnalytics[[#This Row],[Attrition]]="Yes",1,0)</f>
        <v>0</v>
      </c>
    </row>
    <row r="1053" spans="1:36">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c r="AJ1053">
        <f>IF(tblHRAnalytics[[#This Row],[Attrition]]="Yes",1,0)</f>
        <v>0</v>
      </c>
    </row>
    <row r="1054" spans="1:36">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c r="AJ1054">
        <f>IF(tblHRAnalytics[[#This Row],[Attrition]]="Yes",1,0)</f>
        <v>0</v>
      </c>
    </row>
    <row r="1055" spans="1:36">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c r="AJ1055">
        <f>IF(tblHRAnalytics[[#This Row],[Attrition]]="Yes",1,0)</f>
        <v>0</v>
      </c>
    </row>
    <row r="1056" spans="1:36">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c r="AJ1056">
        <f>IF(tblHRAnalytics[[#This Row],[Attrition]]="Yes",1,0)</f>
        <v>0</v>
      </c>
    </row>
    <row r="1057" spans="1:36">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c r="AJ1057">
        <f>IF(tblHRAnalytics[[#This Row],[Attrition]]="Yes",1,0)</f>
        <v>0</v>
      </c>
    </row>
    <row r="1058" spans="1:36">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c r="AJ1058">
        <f>IF(tblHRAnalytics[[#This Row],[Attrition]]="Yes",1,0)</f>
        <v>1</v>
      </c>
    </row>
    <row r="1059" spans="1:36">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c r="AJ1059">
        <f>IF(tblHRAnalytics[[#This Row],[Attrition]]="Yes",1,0)</f>
        <v>1</v>
      </c>
    </row>
    <row r="1060" spans="1:36">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c r="AJ1060">
        <f>IF(tblHRAnalytics[[#This Row],[Attrition]]="Yes",1,0)</f>
        <v>1</v>
      </c>
    </row>
    <row r="1061" spans="1:36">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c r="AJ1061">
        <f>IF(tblHRAnalytics[[#This Row],[Attrition]]="Yes",1,0)</f>
        <v>0</v>
      </c>
    </row>
    <row r="1062" spans="1:36">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c r="AJ1062">
        <f>IF(tblHRAnalytics[[#This Row],[Attrition]]="Yes",1,0)</f>
        <v>1</v>
      </c>
    </row>
    <row r="1063" spans="1:36">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c r="AJ1063">
        <f>IF(tblHRAnalytics[[#This Row],[Attrition]]="Yes",1,0)</f>
        <v>0</v>
      </c>
    </row>
    <row r="1064" spans="1:36">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c r="AJ1064">
        <f>IF(tblHRAnalytics[[#This Row],[Attrition]]="Yes",1,0)</f>
        <v>0</v>
      </c>
    </row>
    <row r="1065" spans="1:36">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c r="AJ1065">
        <f>IF(tblHRAnalytics[[#This Row],[Attrition]]="Yes",1,0)</f>
        <v>0</v>
      </c>
    </row>
    <row r="1066" spans="1:36">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c r="AJ1066">
        <f>IF(tblHRAnalytics[[#This Row],[Attrition]]="Yes",1,0)</f>
        <v>0</v>
      </c>
    </row>
    <row r="1067" spans="1:36">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c r="AJ1067">
        <f>IF(tblHRAnalytics[[#This Row],[Attrition]]="Yes",1,0)</f>
        <v>0</v>
      </c>
    </row>
    <row r="1068" spans="1:36">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c r="AJ1068">
        <f>IF(tblHRAnalytics[[#This Row],[Attrition]]="Yes",1,0)</f>
        <v>0</v>
      </c>
    </row>
    <row r="1069" spans="1:36">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c r="AJ1069">
        <f>IF(tblHRAnalytics[[#This Row],[Attrition]]="Yes",1,0)</f>
        <v>0</v>
      </c>
    </row>
    <row r="1070" spans="1:36">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c r="AJ1070">
        <f>IF(tblHRAnalytics[[#This Row],[Attrition]]="Yes",1,0)</f>
        <v>1</v>
      </c>
    </row>
    <row r="1071" spans="1:36">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c r="AJ1071">
        <f>IF(tblHRAnalytics[[#This Row],[Attrition]]="Yes",1,0)</f>
        <v>0</v>
      </c>
    </row>
    <row r="1072" spans="1:36">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c r="AJ1072">
        <f>IF(tblHRAnalytics[[#This Row],[Attrition]]="Yes",1,0)</f>
        <v>0</v>
      </c>
    </row>
    <row r="1073" spans="1:36">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c r="AJ1073">
        <f>IF(tblHRAnalytics[[#This Row],[Attrition]]="Yes",1,0)</f>
        <v>0</v>
      </c>
    </row>
    <row r="1074" spans="1:36">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c r="AJ1074">
        <f>IF(tblHRAnalytics[[#This Row],[Attrition]]="Yes",1,0)</f>
        <v>0</v>
      </c>
    </row>
    <row r="1075" spans="1:36">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c r="AJ1075">
        <f>IF(tblHRAnalytics[[#This Row],[Attrition]]="Yes",1,0)</f>
        <v>0</v>
      </c>
    </row>
    <row r="1076" spans="1:36">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c r="AJ1076">
        <f>IF(tblHRAnalytics[[#This Row],[Attrition]]="Yes",1,0)</f>
        <v>0</v>
      </c>
    </row>
    <row r="1077" spans="1:36">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c r="AJ1077">
        <f>IF(tblHRAnalytics[[#This Row],[Attrition]]="Yes",1,0)</f>
        <v>0</v>
      </c>
    </row>
    <row r="1078" spans="1:36">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c r="AJ1078">
        <f>IF(tblHRAnalytics[[#This Row],[Attrition]]="Yes",1,0)</f>
        <v>0</v>
      </c>
    </row>
    <row r="1079" spans="1:36">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c r="AJ1079">
        <f>IF(tblHRAnalytics[[#This Row],[Attrition]]="Yes",1,0)</f>
        <v>1</v>
      </c>
    </row>
    <row r="1080" spans="1:36">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c r="AJ1080">
        <f>IF(tblHRAnalytics[[#This Row],[Attrition]]="Yes",1,0)</f>
        <v>0</v>
      </c>
    </row>
    <row r="1081" spans="1:36">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c r="AJ1081">
        <f>IF(tblHRAnalytics[[#This Row],[Attrition]]="Yes",1,0)</f>
        <v>0</v>
      </c>
    </row>
    <row r="1082" spans="1:36">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c r="AJ1082">
        <f>IF(tblHRAnalytics[[#This Row],[Attrition]]="Yes",1,0)</f>
        <v>0</v>
      </c>
    </row>
    <row r="1083" spans="1:36">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c r="AJ1083">
        <f>IF(tblHRAnalytics[[#This Row],[Attrition]]="Yes",1,0)</f>
        <v>0</v>
      </c>
    </row>
    <row r="1084" spans="1:36">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c r="AJ1084">
        <f>IF(tblHRAnalytics[[#This Row],[Attrition]]="Yes",1,0)</f>
        <v>0</v>
      </c>
    </row>
    <row r="1085" spans="1:36">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c r="AJ1085">
        <f>IF(tblHRAnalytics[[#This Row],[Attrition]]="Yes",1,0)</f>
        <v>1</v>
      </c>
    </row>
    <row r="1086" spans="1:36">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c r="AJ1086">
        <f>IF(tblHRAnalytics[[#This Row],[Attrition]]="Yes",1,0)</f>
        <v>0</v>
      </c>
    </row>
    <row r="1087" spans="1:36">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c r="AJ1087">
        <f>IF(tblHRAnalytics[[#This Row],[Attrition]]="Yes",1,0)</f>
        <v>1</v>
      </c>
    </row>
    <row r="1088" spans="1:36">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c r="AJ1088">
        <f>IF(tblHRAnalytics[[#This Row],[Attrition]]="Yes",1,0)</f>
        <v>0</v>
      </c>
    </row>
    <row r="1089" spans="1:36">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c r="AJ1089">
        <f>IF(tblHRAnalytics[[#This Row],[Attrition]]="Yes",1,0)</f>
        <v>0</v>
      </c>
    </row>
    <row r="1090" spans="1:36">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c r="AJ1090">
        <f>IF(tblHRAnalytics[[#This Row],[Attrition]]="Yes",1,0)</f>
        <v>0</v>
      </c>
    </row>
    <row r="1091" spans="1:36">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c r="AJ1091">
        <f>IF(tblHRAnalytics[[#This Row],[Attrition]]="Yes",1,0)</f>
        <v>0</v>
      </c>
    </row>
    <row r="1092" spans="1:36">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c r="AJ1092">
        <f>IF(tblHRAnalytics[[#This Row],[Attrition]]="Yes",1,0)</f>
        <v>0</v>
      </c>
    </row>
    <row r="1093" spans="1:36">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c r="AJ1093">
        <f>IF(tblHRAnalytics[[#This Row],[Attrition]]="Yes",1,0)</f>
        <v>0</v>
      </c>
    </row>
    <row r="1094" spans="1:36">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c r="AJ1094">
        <f>IF(tblHRAnalytics[[#This Row],[Attrition]]="Yes",1,0)</f>
        <v>0</v>
      </c>
    </row>
    <row r="1095" spans="1:36">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c r="AJ1095">
        <f>IF(tblHRAnalytics[[#This Row],[Attrition]]="Yes",1,0)</f>
        <v>0</v>
      </c>
    </row>
    <row r="1096" spans="1:36">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c r="AJ1096">
        <f>IF(tblHRAnalytics[[#This Row],[Attrition]]="Yes",1,0)</f>
        <v>0</v>
      </c>
    </row>
    <row r="1097" spans="1:36">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c r="AJ1097">
        <f>IF(tblHRAnalytics[[#This Row],[Attrition]]="Yes",1,0)</f>
        <v>0</v>
      </c>
    </row>
    <row r="1098" spans="1:36">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c r="AJ1098">
        <f>IF(tblHRAnalytics[[#This Row],[Attrition]]="Yes",1,0)</f>
        <v>0</v>
      </c>
    </row>
    <row r="1099" spans="1:36">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c r="AJ1099">
        <f>IF(tblHRAnalytics[[#This Row],[Attrition]]="Yes",1,0)</f>
        <v>0</v>
      </c>
    </row>
    <row r="1100" spans="1:36">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c r="AJ1100">
        <f>IF(tblHRAnalytics[[#This Row],[Attrition]]="Yes",1,0)</f>
        <v>0</v>
      </c>
    </row>
    <row r="1101" spans="1:36">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c r="AJ1101">
        <f>IF(tblHRAnalytics[[#This Row],[Attrition]]="Yes",1,0)</f>
        <v>0</v>
      </c>
    </row>
    <row r="1102" spans="1:36">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c r="AJ1102">
        <f>IF(tblHRAnalytics[[#This Row],[Attrition]]="Yes",1,0)</f>
        <v>0</v>
      </c>
    </row>
    <row r="1103" spans="1:36">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c r="AJ1103">
        <f>IF(tblHRAnalytics[[#This Row],[Attrition]]="Yes",1,0)</f>
        <v>0</v>
      </c>
    </row>
    <row r="1104" spans="1:36">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c r="AJ1104">
        <f>IF(tblHRAnalytics[[#This Row],[Attrition]]="Yes",1,0)</f>
        <v>0</v>
      </c>
    </row>
    <row r="1105" spans="1:36">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c r="AJ1105">
        <f>IF(tblHRAnalytics[[#This Row],[Attrition]]="Yes",1,0)</f>
        <v>0</v>
      </c>
    </row>
    <row r="1106" spans="1:36">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c r="AJ1106">
        <f>IF(tblHRAnalytics[[#This Row],[Attrition]]="Yes",1,0)</f>
        <v>0</v>
      </c>
    </row>
    <row r="1107" spans="1:36">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c r="AJ1107">
        <f>IF(tblHRAnalytics[[#This Row],[Attrition]]="Yes",1,0)</f>
        <v>0</v>
      </c>
    </row>
    <row r="1108" spans="1:36">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c r="AJ1108">
        <f>IF(tblHRAnalytics[[#This Row],[Attrition]]="Yes",1,0)</f>
        <v>1</v>
      </c>
    </row>
    <row r="1109" spans="1:36">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c r="AJ1109">
        <f>IF(tblHRAnalytics[[#This Row],[Attrition]]="Yes",1,0)</f>
        <v>0</v>
      </c>
    </row>
    <row r="1110" spans="1:36">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c r="AJ1110">
        <f>IF(tblHRAnalytics[[#This Row],[Attrition]]="Yes",1,0)</f>
        <v>0</v>
      </c>
    </row>
    <row r="1111" spans="1:36">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c r="AJ1111">
        <f>IF(tblHRAnalytics[[#This Row],[Attrition]]="Yes",1,0)</f>
        <v>0</v>
      </c>
    </row>
    <row r="1112" spans="1:36">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c r="AJ1112">
        <f>IF(tblHRAnalytics[[#This Row],[Attrition]]="Yes",1,0)</f>
        <v>1</v>
      </c>
    </row>
    <row r="1113" spans="1:36">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c r="AJ1113">
        <f>IF(tblHRAnalytics[[#This Row],[Attrition]]="Yes",1,0)</f>
        <v>1</v>
      </c>
    </row>
    <row r="1114" spans="1:36">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c r="AJ1114">
        <f>IF(tblHRAnalytics[[#This Row],[Attrition]]="Yes",1,0)</f>
        <v>1</v>
      </c>
    </row>
    <row r="1115" spans="1:36">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c r="AJ1115">
        <f>IF(tblHRAnalytics[[#This Row],[Attrition]]="Yes",1,0)</f>
        <v>0</v>
      </c>
    </row>
    <row r="1116" spans="1:36">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c r="AJ1116">
        <f>IF(tblHRAnalytics[[#This Row],[Attrition]]="Yes",1,0)</f>
        <v>0</v>
      </c>
    </row>
    <row r="1117" spans="1:36">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c r="AJ1117">
        <f>IF(tblHRAnalytics[[#This Row],[Attrition]]="Yes",1,0)</f>
        <v>0</v>
      </c>
    </row>
    <row r="1118" spans="1:36">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c r="AJ1118">
        <f>IF(tblHRAnalytics[[#This Row],[Attrition]]="Yes",1,0)</f>
        <v>0</v>
      </c>
    </row>
    <row r="1119" spans="1:36">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c r="AJ1119">
        <f>IF(tblHRAnalytics[[#This Row],[Attrition]]="Yes",1,0)</f>
        <v>0</v>
      </c>
    </row>
    <row r="1120" spans="1:36">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c r="AJ1120">
        <f>IF(tblHRAnalytics[[#This Row],[Attrition]]="Yes",1,0)</f>
        <v>0</v>
      </c>
    </row>
    <row r="1121" spans="1:36">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c r="AJ1121">
        <f>IF(tblHRAnalytics[[#This Row],[Attrition]]="Yes",1,0)</f>
        <v>0</v>
      </c>
    </row>
    <row r="1122" spans="1:36">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c r="AJ1122">
        <f>IF(tblHRAnalytics[[#This Row],[Attrition]]="Yes",1,0)</f>
        <v>0</v>
      </c>
    </row>
    <row r="1123" spans="1:36">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c r="AJ1123">
        <f>IF(tblHRAnalytics[[#This Row],[Attrition]]="Yes",1,0)</f>
        <v>0</v>
      </c>
    </row>
    <row r="1124" spans="1:36">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c r="AJ1124">
        <f>IF(tblHRAnalytics[[#This Row],[Attrition]]="Yes",1,0)</f>
        <v>0</v>
      </c>
    </row>
    <row r="1125" spans="1:36">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c r="AJ1125">
        <f>IF(tblHRAnalytics[[#This Row],[Attrition]]="Yes",1,0)</f>
        <v>0</v>
      </c>
    </row>
    <row r="1126" spans="1:36">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c r="AJ1126">
        <f>IF(tblHRAnalytics[[#This Row],[Attrition]]="Yes",1,0)</f>
        <v>0</v>
      </c>
    </row>
    <row r="1127" spans="1:36">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c r="AJ1127">
        <f>IF(tblHRAnalytics[[#This Row],[Attrition]]="Yes",1,0)</f>
        <v>0</v>
      </c>
    </row>
    <row r="1128" spans="1:36">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c r="AJ1128">
        <f>IF(tblHRAnalytics[[#This Row],[Attrition]]="Yes",1,0)</f>
        <v>0</v>
      </c>
    </row>
    <row r="1129" spans="1:36">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c r="AJ1129">
        <f>IF(tblHRAnalytics[[#This Row],[Attrition]]="Yes",1,0)</f>
        <v>0</v>
      </c>
    </row>
    <row r="1130" spans="1:36">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c r="AJ1130">
        <f>IF(tblHRAnalytics[[#This Row],[Attrition]]="Yes",1,0)</f>
        <v>0</v>
      </c>
    </row>
    <row r="1131" spans="1:36">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c r="AJ1131">
        <f>IF(tblHRAnalytics[[#This Row],[Attrition]]="Yes",1,0)</f>
        <v>0</v>
      </c>
    </row>
    <row r="1132" spans="1:36">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c r="AJ1132">
        <f>IF(tblHRAnalytics[[#This Row],[Attrition]]="Yes",1,0)</f>
        <v>0</v>
      </c>
    </row>
    <row r="1133" spans="1:36">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c r="AJ1133">
        <f>IF(tblHRAnalytics[[#This Row],[Attrition]]="Yes",1,0)</f>
        <v>0</v>
      </c>
    </row>
    <row r="1134" spans="1:36">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c r="AJ1134">
        <f>IF(tblHRAnalytics[[#This Row],[Attrition]]="Yes",1,0)</f>
        <v>0</v>
      </c>
    </row>
    <row r="1135" spans="1:36">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c r="AJ1135">
        <f>IF(tblHRAnalytics[[#This Row],[Attrition]]="Yes",1,0)</f>
        <v>0</v>
      </c>
    </row>
    <row r="1136" spans="1:36">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c r="AJ1136">
        <f>IF(tblHRAnalytics[[#This Row],[Attrition]]="Yes",1,0)</f>
        <v>0</v>
      </c>
    </row>
    <row r="1137" spans="1:36">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c r="AJ1137">
        <f>IF(tblHRAnalytics[[#This Row],[Attrition]]="Yes",1,0)</f>
        <v>0</v>
      </c>
    </row>
    <row r="1138" spans="1:36">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c r="AJ1138">
        <f>IF(tblHRAnalytics[[#This Row],[Attrition]]="Yes",1,0)</f>
        <v>1</v>
      </c>
    </row>
    <row r="1139" spans="1:36">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c r="AJ1139">
        <f>IF(tblHRAnalytics[[#This Row],[Attrition]]="Yes",1,0)</f>
        <v>0</v>
      </c>
    </row>
    <row r="1140" spans="1:36">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c r="AJ1140">
        <f>IF(tblHRAnalytics[[#This Row],[Attrition]]="Yes",1,0)</f>
        <v>0</v>
      </c>
    </row>
    <row r="1141" spans="1:36">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c r="AJ1141">
        <f>IF(tblHRAnalytics[[#This Row],[Attrition]]="Yes",1,0)</f>
        <v>0</v>
      </c>
    </row>
    <row r="1142" spans="1:36">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c r="AJ1142">
        <f>IF(tblHRAnalytics[[#This Row],[Attrition]]="Yes",1,0)</f>
        <v>0</v>
      </c>
    </row>
    <row r="1143" spans="1:36">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c r="AJ1143">
        <f>IF(tblHRAnalytics[[#This Row],[Attrition]]="Yes",1,0)</f>
        <v>0</v>
      </c>
    </row>
    <row r="1144" spans="1:36">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c r="AJ1144">
        <f>IF(tblHRAnalytics[[#This Row],[Attrition]]="Yes",1,0)</f>
        <v>0</v>
      </c>
    </row>
    <row r="1145" spans="1:36">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c r="AJ1145">
        <f>IF(tblHRAnalytics[[#This Row],[Attrition]]="Yes",1,0)</f>
        <v>0</v>
      </c>
    </row>
    <row r="1146" spans="1:36">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c r="AJ1146">
        <f>IF(tblHRAnalytics[[#This Row],[Attrition]]="Yes",1,0)</f>
        <v>0</v>
      </c>
    </row>
    <row r="1147" spans="1:36">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c r="AJ1147">
        <f>IF(tblHRAnalytics[[#This Row],[Attrition]]="Yes",1,0)</f>
        <v>0</v>
      </c>
    </row>
    <row r="1148" spans="1:36">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c r="AJ1148">
        <f>IF(tblHRAnalytics[[#This Row],[Attrition]]="Yes",1,0)</f>
        <v>0</v>
      </c>
    </row>
    <row r="1149" spans="1:36">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c r="AJ1149">
        <f>IF(tblHRAnalytics[[#This Row],[Attrition]]="Yes",1,0)</f>
        <v>0</v>
      </c>
    </row>
    <row r="1150" spans="1:36">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c r="AJ1150">
        <f>IF(tblHRAnalytics[[#This Row],[Attrition]]="Yes",1,0)</f>
        <v>0</v>
      </c>
    </row>
    <row r="1151" spans="1:36">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c r="AJ1151">
        <f>IF(tblHRAnalytics[[#This Row],[Attrition]]="Yes",1,0)</f>
        <v>0</v>
      </c>
    </row>
    <row r="1152" spans="1:36">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c r="AJ1152">
        <f>IF(tblHRAnalytics[[#This Row],[Attrition]]="Yes",1,0)</f>
        <v>0</v>
      </c>
    </row>
    <row r="1153" spans="1:36">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c r="AJ1153">
        <f>IF(tblHRAnalytics[[#This Row],[Attrition]]="Yes",1,0)</f>
        <v>0</v>
      </c>
    </row>
    <row r="1154" spans="1:36">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c r="AJ1154">
        <f>IF(tblHRAnalytics[[#This Row],[Attrition]]="Yes",1,0)</f>
        <v>0</v>
      </c>
    </row>
    <row r="1155" spans="1:36">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c r="AJ1155">
        <f>IF(tblHRAnalytics[[#This Row],[Attrition]]="Yes",1,0)</f>
        <v>1</v>
      </c>
    </row>
    <row r="1156" spans="1:36">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c r="AJ1156">
        <f>IF(tblHRAnalytics[[#This Row],[Attrition]]="Yes",1,0)</f>
        <v>0</v>
      </c>
    </row>
    <row r="1157" spans="1:36">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c r="AJ1157">
        <f>IF(tblHRAnalytics[[#This Row],[Attrition]]="Yes",1,0)</f>
        <v>0</v>
      </c>
    </row>
    <row r="1158" spans="1:36">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c r="AJ1158">
        <f>IF(tblHRAnalytics[[#This Row],[Attrition]]="Yes",1,0)</f>
        <v>0</v>
      </c>
    </row>
    <row r="1159" spans="1:36">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c r="AJ1159">
        <f>IF(tblHRAnalytics[[#This Row],[Attrition]]="Yes",1,0)</f>
        <v>0</v>
      </c>
    </row>
    <row r="1160" spans="1:36">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c r="AJ1160">
        <f>IF(tblHRAnalytics[[#This Row],[Attrition]]="Yes",1,0)</f>
        <v>0</v>
      </c>
    </row>
    <row r="1161" spans="1:36">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c r="AJ1161">
        <f>IF(tblHRAnalytics[[#This Row],[Attrition]]="Yes",1,0)</f>
        <v>0</v>
      </c>
    </row>
    <row r="1162" spans="1:36">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c r="AJ1162">
        <f>IF(tblHRAnalytics[[#This Row],[Attrition]]="Yes",1,0)</f>
        <v>0</v>
      </c>
    </row>
    <row r="1163" spans="1:36">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c r="AJ1163">
        <f>IF(tblHRAnalytics[[#This Row],[Attrition]]="Yes",1,0)</f>
        <v>0</v>
      </c>
    </row>
    <row r="1164" spans="1:36">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c r="AJ1164">
        <f>IF(tblHRAnalytics[[#This Row],[Attrition]]="Yes",1,0)</f>
        <v>1</v>
      </c>
    </row>
    <row r="1165" spans="1:36">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c r="AJ1165">
        <f>IF(tblHRAnalytics[[#This Row],[Attrition]]="Yes",1,0)</f>
        <v>0</v>
      </c>
    </row>
    <row r="1166" spans="1:36">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c r="AJ1166">
        <f>IF(tblHRAnalytics[[#This Row],[Attrition]]="Yes",1,0)</f>
        <v>0</v>
      </c>
    </row>
    <row r="1167" spans="1:36">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c r="AJ1167">
        <f>IF(tblHRAnalytics[[#This Row],[Attrition]]="Yes",1,0)</f>
        <v>0</v>
      </c>
    </row>
    <row r="1168" spans="1:36">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c r="AJ1168">
        <f>IF(tblHRAnalytics[[#This Row],[Attrition]]="Yes",1,0)</f>
        <v>0</v>
      </c>
    </row>
    <row r="1169" spans="1:36">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c r="AJ1169">
        <f>IF(tblHRAnalytics[[#This Row],[Attrition]]="Yes",1,0)</f>
        <v>1</v>
      </c>
    </row>
    <row r="1170" spans="1:36">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c r="AJ1170">
        <f>IF(tblHRAnalytics[[#This Row],[Attrition]]="Yes",1,0)</f>
        <v>0</v>
      </c>
    </row>
    <row r="1171" spans="1:36">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c r="AJ1171">
        <f>IF(tblHRAnalytics[[#This Row],[Attrition]]="Yes",1,0)</f>
        <v>0</v>
      </c>
    </row>
    <row r="1172" spans="1:36">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c r="AJ1172">
        <f>IF(tblHRAnalytics[[#This Row],[Attrition]]="Yes",1,0)</f>
        <v>0</v>
      </c>
    </row>
    <row r="1173" spans="1:36">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c r="AJ1173">
        <f>IF(tblHRAnalytics[[#This Row],[Attrition]]="Yes",1,0)</f>
        <v>1</v>
      </c>
    </row>
    <row r="1174" spans="1:36">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c r="AJ1174">
        <f>IF(tblHRAnalytics[[#This Row],[Attrition]]="Yes",1,0)</f>
        <v>0</v>
      </c>
    </row>
    <row r="1175" spans="1:36">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c r="AJ1175">
        <f>IF(tblHRAnalytics[[#This Row],[Attrition]]="Yes",1,0)</f>
        <v>0</v>
      </c>
    </row>
    <row r="1176" spans="1:36">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c r="AJ1176">
        <f>IF(tblHRAnalytics[[#This Row],[Attrition]]="Yes",1,0)</f>
        <v>0</v>
      </c>
    </row>
    <row r="1177" spans="1:36">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c r="AJ1177">
        <f>IF(tblHRAnalytics[[#This Row],[Attrition]]="Yes",1,0)</f>
        <v>0</v>
      </c>
    </row>
    <row r="1178" spans="1:36">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c r="AJ1178">
        <f>IF(tblHRAnalytics[[#This Row],[Attrition]]="Yes",1,0)</f>
        <v>0</v>
      </c>
    </row>
    <row r="1179" spans="1:36">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c r="AJ1179">
        <f>IF(tblHRAnalytics[[#This Row],[Attrition]]="Yes",1,0)</f>
        <v>0</v>
      </c>
    </row>
    <row r="1180" spans="1:36">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c r="AJ1180">
        <f>IF(tblHRAnalytics[[#This Row],[Attrition]]="Yes",1,0)</f>
        <v>0</v>
      </c>
    </row>
    <row r="1181" spans="1:36">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c r="AJ1181">
        <f>IF(tblHRAnalytics[[#This Row],[Attrition]]="Yes",1,0)</f>
        <v>0</v>
      </c>
    </row>
    <row r="1182" spans="1:36">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c r="AJ1182">
        <f>IF(tblHRAnalytics[[#This Row],[Attrition]]="Yes",1,0)</f>
        <v>0</v>
      </c>
    </row>
    <row r="1183" spans="1:36">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c r="AJ1183">
        <f>IF(tblHRAnalytics[[#This Row],[Attrition]]="Yes",1,0)</f>
        <v>0</v>
      </c>
    </row>
    <row r="1184" spans="1:36">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c r="AJ1184">
        <f>IF(tblHRAnalytics[[#This Row],[Attrition]]="Yes",1,0)</f>
        <v>0</v>
      </c>
    </row>
    <row r="1185" spans="1:36">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c r="AJ1185">
        <f>IF(tblHRAnalytics[[#This Row],[Attrition]]="Yes",1,0)</f>
        <v>0</v>
      </c>
    </row>
    <row r="1186" spans="1:36">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c r="AJ1186">
        <f>IF(tblHRAnalytics[[#This Row],[Attrition]]="Yes",1,0)</f>
        <v>0</v>
      </c>
    </row>
    <row r="1187" spans="1:36">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c r="AJ1187">
        <f>IF(tblHRAnalytics[[#This Row],[Attrition]]="Yes",1,0)</f>
        <v>0</v>
      </c>
    </row>
    <row r="1188" spans="1:36">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c r="AJ1188">
        <f>IF(tblHRAnalytics[[#This Row],[Attrition]]="Yes",1,0)</f>
        <v>1</v>
      </c>
    </row>
    <row r="1189" spans="1:36">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c r="AJ1189">
        <f>IF(tblHRAnalytics[[#This Row],[Attrition]]="Yes",1,0)</f>
        <v>0</v>
      </c>
    </row>
    <row r="1190" spans="1:36">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c r="AJ1190">
        <f>IF(tblHRAnalytics[[#This Row],[Attrition]]="Yes",1,0)</f>
        <v>0</v>
      </c>
    </row>
    <row r="1191" spans="1:36">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c r="AJ1191">
        <f>IF(tblHRAnalytics[[#This Row],[Attrition]]="Yes",1,0)</f>
        <v>0</v>
      </c>
    </row>
    <row r="1192" spans="1:36">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c r="AJ1192">
        <f>IF(tblHRAnalytics[[#This Row],[Attrition]]="Yes",1,0)</f>
        <v>0</v>
      </c>
    </row>
    <row r="1193" spans="1:36">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c r="AJ1193">
        <f>IF(tblHRAnalytics[[#This Row],[Attrition]]="Yes",1,0)</f>
        <v>0</v>
      </c>
    </row>
    <row r="1194" spans="1:36">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c r="AJ1194">
        <f>IF(tblHRAnalytics[[#This Row],[Attrition]]="Yes",1,0)</f>
        <v>0</v>
      </c>
    </row>
    <row r="1195" spans="1:36">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c r="AJ1195">
        <f>IF(tblHRAnalytics[[#This Row],[Attrition]]="Yes",1,0)</f>
        <v>0</v>
      </c>
    </row>
    <row r="1196" spans="1:36">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c r="AJ1196">
        <f>IF(tblHRAnalytics[[#This Row],[Attrition]]="Yes",1,0)</f>
        <v>0</v>
      </c>
    </row>
    <row r="1197" spans="1:36">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c r="AJ1197">
        <f>IF(tblHRAnalytics[[#This Row],[Attrition]]="Yes",1,0)</f>
        <v>0</v>
      </c>
    </row>
    <row r="1198" spans="1:36">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c r="AJ1198">
        <f>IF(tblHRAnalytics[[#This Row],[Attrition]]="Yes",1,0)</f>
        <v>0</v>
      </c>
    </row>
    <row r="1199" spans="1:36">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c r="AJ1199">
        <f>IF(tblHRAnalytics[[#This Row],[Attrition]]="Yes",1,0)</f>
        <v>0</v>
      </c>
    </row>
    <row r="1200" spans="1:36">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c r="AJ1200">
        <f>IF(tblHRAnalytics[[#This Row],[Attrition]]="Yes",1,0)</f>
        <v>0</v>
      </c>
    </row>
    <row r="1201" spans="1:36">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c r="AJ1201">
        <f>IF(tblHRAnalytics[[#This Row],[Attrition]]="Yes",1,0)</f>
        <v>0</v>
      </c>
    </row>
    <row r="1202" spans="1:36">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c r="AJ1202">
        <f>IF(tblHRAnalytics[[#This Row],[Attrition]]="Yes",1,0)</f>
        <v>0</v>
      </c>
    </row>
    <row r="1203" spans="1:36">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c r="AJ1203">
        <f>IF(tblHRAnalytics[[#This Row],[Attrition]]="Yes",1,0)</f>
        <v>1</v>
      </c>
    </row>
    <row r="1204" spans="1:36">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c r="AJ1204">
        <f>IF(tblHRAnalytics[[#This Row],[Attrition]]="Yes",1,0)</f>
        <v>0</v>
      </c>
    </row>
    <row r="1205" spans="1:36">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c r="AJ1205">
        <f>IF(tblHRAnalytics[[#This Row],[Attrition]]="Yes",1,0)</f>
        <v>0</v>
      </c>
    </row>
    <row r="1206" spans="1:36">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c r="AJ1206">
        <f>IF(tblHRAnalytics[[#This Row],[Attrition]]="Yes",1,0)</f>
        <v>1</v>
      </c>
    </row>
    <row r="1207" spans="1:36">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c r="AJ1207">
        <f>IF(tblHRAnalytics[[#This Row],[Attrition]]="Yes",1,0)</f>
        <v>1</v>
      </c>
    </row>
    <row r="1208" spans="1:36">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c r="AJ1208">
        <f>IF(tblHRAnalytics[[#This Row],[Attrition]]="Yes",1,0)</f>
        <v>0</v>
      </c>
    </row>
    <row r="1209" spans="1:36">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c r="AJ1209">
        <f>IF(tblHRAnalytics[[#This Row],[Attrition]]="Yes",1,0)</f>
        <v>0</v>
      </c>
    </row>
    <row r="1210" spans="1:36">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c r="AJ1210">
        <f>IF(tblHRAnalytics[[#This Row],[Attrition]]="Yes",1,0)</f>
        <v>0</v>
      </c>
    </row>
    <row r="1211" spans="1:36">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c r="AJ1211">
        <f>IF(tblHRAnalytics[[#This Row],[Attrition]]="Yes",1,0)</f>
        <v>0</v>
      </c>
    </row>
    <row r="1212" spans="1:36">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c r="AJ1212">
        <f>IF(tblHRAnalytics[[#This Row],[Attrition]]="Yes",1,0)</f>
        <v>0</v>
      </c>
    </row>
    <row r="1213" spans="1:36">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c r="AJ1213">
        <f>IF(tblHRAnalytics[[#This Row],[Attrition]]="Yes",1,0)</f>
        <v>0</v>
      </c>
    </row>
    <row r="1214" spans="1:36">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c r="AJ1214">
        <f>IF(tblHRAnalytics[[#This Row],[Attrition]]="Yes",1,0)</f>
        <v>0</v>
      </c>
    </row>
    <row r="1215" spans="1:36">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c r="AJ1215">
        <f>IF(tblHRAnalytics[[#This Row],[Attrition]]="Yes",1,0)</f>
        <v>1</v>
      </c>
    </row>
    <row r="1216" spans="1:36">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c r="AJ1216">
        <f>IF(tblHRAnalytics[[#This Row],[Attrition]]="Yes",1,0)</f>
        <v>0</v>
      </c>
    </row>
    <row r="1217" spans="1:36">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c r="AJ1217">
        <f>IF(tblHRAnalytics[[#This Row],[Attrition]]="Yes",1,0)</f>
        <v>0</v>
      </c>
    </row>
    <row r="1218" spans="1:36">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c r="AJ1218">
        <f>IF(tblHRAnalytics[[#This Row],[Attrition]]="Yes",1,0)</f>
        <v>0</v>
      </c>
    </row>
    <row r="1219" spans="1:36">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c r="AJ1219">
        <f>IF(tblHRAnalytics[[#This Row],[Attrition]]="Yes",1,0)</f>
        <v>0</v>
      </c>
    </row>
    <row r="1220" spans="1:36">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c r="AJ1220">
        <f>IF(tblHRAnalytics[[#This Row],[Attrition]]="Yes",1,0)</f>
        <v>0</v>
      </c>
    </row>
    <row r="1221" spans="1:36">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c r="AJ1221">
        <f>IF(tblHRAnalytics[[#This Row],[Attrition]]="Yes",1,0)</f>
        <v>0</v>
      </c>
    </row>
    <row r="1222" spans="1:36">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c r="AJ1222">
        <f>IF(tblHRAnalytics[[#This Row],[Attrition]]="Yes",1,0)</f>
        <v>0</v>
      </c>
    </row>
    <row r="1223" spans="1:36">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c r="AJ1223">
        <f>IF(tblHRAnalytics[[#This Row],[Attrition]]="Yes",1,0)</f>
        <v>0</v>
      </c>
    </row>
    <row r="1224" spans="1:36">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c r="AJ1224">
        <f>IF(tblHRAnalytics[[#This Row],[Attrition]]="Yes",1,0)</f>
        <v>1</v>
      </c>
    </row>
    <row r="1225" spans="1:36">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c r="AJ1225">
        <f>IF(tblHRAnalytics[[#This Row],[Attrition]]="Yes",1,0)</f>
        <v>1</v>
      </c>
    </row>
    <row r="1226" spans="1:36">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c r="AJ1226">
        <f>IF(tblHRAnalytics[[#This Row],[Attrition]]="Yes",1,0)</f>
        <v>0</v>
      </c>
    </row>
    <row r="1227" spans="1:36">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c r="AJ1227">
        <f>IF(tblHRAnalytics[[#This Row],[Attrition]]="Yes",1,0)</f>
        <v>0</v>
      </c>
    </row>
    <row r="1228" spans="1:36">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c r="AJ1228">
        <f>IF(tblHRAnalytics[[#This Row],[Attrition]]="Yes",1,0)</f>
        <v>0</v>
      </c>
    </row>
    <row r="1229" spans="1:36">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c r="AJ1229">
        <f>IF(tblHRAnalytics[[#This Row],[Attrition]]="Yes",1,0)</f>
        <v>0</v>
      </c>
    </row>
    <row r="1230" spans="1:36">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c r="AJ1230">
        <f>IF(tblHRAnalytics[[#This Row],[Attrition]]="Yes",1,0)</f>
        <v>0</v>
      </c>
    </row>
    <row r="1231" spans="1:36">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c r="AJ1231">
        <f>IF(tblHRAnalytics[[#This Row],[Attrition]]="Yes",1,0)</f>
        <v>0</v>
      </c>
    </row>
    <row r="1232" spans="1:36">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c r="AJ1232">
        <f>IF(tblHRAnalytics[[#This Row],[Attrition]]="Yes",1,0)</f>
        <v>0</v>
      </c>
    </row>
    <row r="1233" spans="1:36">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c r="AJ1233">
        <f>IF(tblHRAnalytics[[#This Row],[Attrition]]="Yes",1,0)</f>
        <v>0</v>
      </c>
    </row>
    <row r="1234" spans="1:36">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c r="AJ1234">
        <f>IF(tblHRAnalytics[[#This Row],[Attrition]]="Yes",1,0)</f>
        <v>0</v>
      </c>
    </row>
    <row r="1235" spans="1:36">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c r="AJ1235">
        <f>IF(tblHRAnalytics[[#This Row],[Attrition]]="Yes",1,0)</f>
        <v>0</v>
      </c>
    </row>
    <row r="1236" spans="1:36">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c r="AJ1236">
        <f>IF(tblHRAnalytics[[#This Row],[Attrition]]="Yes",1,0)</f>
        <v>0</v>
      </c>
    </row>
    <row r="1237" spans="1:36">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c r="AJ1237">
        <f>IF(tblHRAnalytics[[#This Row],[Attrition]]="Yes",1,0)</f>
        <v>0</v>
      </c>
    </row>
    <row r="1238" spans="1:36">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c r="AJ1238">
        <f>IF(tblHRAnalytics[[#This Row],[Attrition]]="Yes",1,0)</f>
        <v>1</v>
      </c>
    </row>
    <row r="1239" spans="1:36">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c r="AJ1239">
        <f>IF(tblHRAnalytics[[#This Row],[Attrition]]="Yes",1,0)</f>
        <v>1</v>
      </c>
    </row>
    <row r="1240" spans="1:36">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c r="AJ1240">
        <f>IF(tblHRAnalytics[[#This Row],[Attrition]]="Yes",1,0)</f>
        <v>0</v>
      </c>
    </row>
    <row r="1241" spans="1:36">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c r="AJ1241">
        <f>IF(tblHRAnalytics[[#This Row],[Attrition]]="Yes",1,0)</f>
        <v>0</v>
      </c>
    </row>
    <row r="1242" spans="1:36">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c r="AJ1242">
        <f>IF(tblHRAnalytics[[#This Row],[Attrition]]="Yes",1,0)</f>
        <v>0</v>
      </c>
    </row>
    <row r="1243" spans="1:36">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c r="AJ1243">
        <f>IF(tblHRAnalytics[[#This Row],[Attrition]]="Yes",1,0)</f>
        <v>0</v>
      </c>
    </row>
    <row r="1244" spans="1:36">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c r="AJ1244">
        <f>IF(tblHRAnalytics[[#This Row],[Attrition]]="Yes",1,0)</f>
        <v>0</v>
      </c>
    </row>
    <row r="1245" spans="1:36">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c r="AJ1245">
        <f>IF(tblHRAnalytics[[#This Row],[Attrition]]="Yes",1,0)</f>
        <v>0</v>
      </c>
    </row>
    <row r="1246" spans="1:36">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c r="AJ1246">
        <f>IF(tblHRAnalytics[[#This Row],[Attrition]]="Yes",1,0)</f>
        <v>0</v>
      </c>
    </row>
    <row r="1247" spans="1:36">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c r="AJ1247">
        <f>IF(tblHRAnalytics[[#This Row],[Attrition]]="Yes",1,0)</f>
        <v>0</v>
      </c>
    </row>
    <row r="1248" spans="1:36">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c r="AJ1248">
        <f>IF(tblHRAnalytics[[#This Row],[Attrition]]="Yes",1,0)</f>
        <v>1</v>
      </c>
    </row>
    <row r="1249" spans="1:36">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c r="AJ1249">
        <f>IF(tblHRAnalytics[[#This Row],[Attrition]]="Yes",1,0)</f>
        <v>0</v>
      </c>
    </row>
    <row r="1250" spans="1:36">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c r="AJ1250">
        <f>IF(tblHRAnalytics[[#This Row],[Attrition]]="Yes",1,0)</f>
        <v>0</v>
      </c>
    </row>
    <row r="1251" spans="1:36">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c r="AJ1251">
        <f>IF(tblHRAnalytics[[#This Row],[Attrition]]="Yes",1,0)</f>
        <v>1</v>
      </c>
    </row>
    <row r="1252" spans="1:36">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c r="AJ1252">
        <f>IF(tblHRAnalytics[[#This Row],[Attrition]]="Yes",1,0)</f>
        <v>0</v>
      </c>
    </row>
    <row r="1253" spans="1:36">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c r="AJ1253">
        <f>IF(tblHRAnalytics[[#This Row],[Attrition]]="Yes",1,0)</f>
        <v>0</v>
      </c>
    </row>
    <row r="1254" spans="1:36">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c r="AJ1254">
        <f>IF(tblHRAnalytics[[#This Row],[Attrition]]="Yes",1,0)</f>
        <v>0</v>
      </c>
    </row>
    <row r="1255" spans="1:36">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c r="AJ1255">
        <f>IF(tblHRAnalytics[[#This Row],[Attrition]]="Yes",1,0)</f>
        <v>0</v>
      </c>
    </row>
    <row r="1256" spans="1:36">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c r="AJ1256">
        <f>IF(tblHRAnalytics[[#This Row],[Attrition]]="Yes",1,0)</f>
        <v>0</v>
      </c>
    </row>
    <row r="1257" spans="1:36">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c r="AJ1257">
        <f>IF(tblHRAnalytics[[#This Row],[Attrition]]="Yes",1,0)</f>
        <v>1</v>
      </c>
    </row>
    <row r="1258" spans="1:36">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c r="AJ1258">
        <f>IF(tblHRAnalytics[[#This Row],[Attrition]]="Yes",1,0)</f>
        <v>0</v>
      </c>
    </row>
    <row r="1259" spans="1:36">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c r="AJ1259">
        <f>IF(tblHRAnalytics[[#This Row],[Attrition]]="Yes",1,0)</f>
        <v>1</v>
      </c>
    </row>
    <row r="1260" spans="1:36">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c r="AJ1260">
        <f>IF(tblHRAnalytics[[#This Row],[Attrition]]="Yes",1,0)</f>
        <v>0</v>
      </c>
    </row>
    <row r="1261" spans="1:36">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c r="AJ1261">
        <f>IF(tblHRAnalytics[[#This Row],[Attrition]]="Yes",1,0)</f>
        <v>0</v>
      </c>
    </row>
    <row r="1262" spans="1:36">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c r="AJ1262">
        <f>IF(tblHRAnalytics[[#This Row],[Attrition]]="Yes",1,0)</f>
        <v>0</v>
      </c>
    </row>
    <row r="1263" spans="1:36">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c r="AJ1263">
        <f>IF(tblHRAnalytics[[#This Row],[Attrition]]="Yes",1,0)</f>
        <v>0</v>
      </c>
    </row>
    <row r="1264" spans="1:36">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c r="AJ1264">
        <f>IF(tblHRAnalytics[[#This Row],[Attrition]]="Yes",1,0)</f>
        <v>1</v>
      </c>
    </row>
    <row r="1265" spans="1:36">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c r="AJ1265">
        <f>IF(tblHRAnalytics[[#This Row],[Attrition]]="Yes",1,0)</f>
        <v>0</v>
      </c>
    </row>
    <row r="1266" spans="1:36">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c r="AJ1266">
        <f>IF(tblHRAnalytics[[#This Row],[Attrition]]="Yes",1,0)</f>
        <v>0</v>
      </c>
    </row>
    <row r="1267" spans="1:36">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c r="AJ1267">
        <f>IF(tblHRAnalytics[[#This Row],[Attrition]]="Yes",1,0)</f>
        <v>0</v>
      </c>
    </row>
    <row r="1268" spans="1:36">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c r="AJ1268">
        <f>IF(tblHRAnalytics[[#This Row],[Attrition]]="Yes",1,0)</f>
        <v>0</v>
      </c>
    </row>
    <row r="1269" spans="1:36">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c r="AJ1269">
        <f>IF(tblHRAnalytics[[#This Row],[Attrition]]="Yes",1,0)</f>
        <v>0</v>
      </c>
    </row>
    <row r="1270" spans="1:36">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c r="AJ1270">
        <f>IF(tblHRAnalytics[[#This Row],[Attrition]]="Yes",1,0)</f>
        <v>0</v>
      </c>
    </row>
    <row r="1271" spans="1:36">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c r="AJ1271">
        <f>IF(tblHRAnalytics[[#This Row],[Attrition]]="Yes",1,0)</f>
        <v>0</v>
      </c>
    </row>
    <row r="1272" spans="1:36">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c r="AJ1272">
        <f>IF(tblHRAnalytics[[#This Row],[Attrition]]="Yes",1,0)</f>
        <v>0</v>
      </c>
    </row>
    <row r="1273" spans="1:36">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c r="AJ1273">
        <f>IF(tblHRAnalytics[[#This Row],[Attrition]]="Yes",1,0)</f>
        <v>1</v>
      </c>
    </row>
    <row r="1274" spans="1:36">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c r="AJ1274">
        <f>IF(tblHRAnalytics[[#This Row],[Attrition]]="Yes",1,0)</f>
        <v>0</v>
      </c>
    </row>
    <row r="1275" spans="1:36">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c r="AJ1275">
        <f>IF(tblHRAnalytics[[#This Row],[Attrition]]="Yes",1,0)</f>
        <v>1</v>
      </c>
    </row>
    <row r="1276" spans="1:36">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c r="AJ1276">
        <f>IF(tblHRAnalytics[[#This Row],[Attrition]]="Yes",1,0)</f>
        <v>0</v>
      </c>
    </row>
    <row r="1277" spans="1:36">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c r="AJ1277">
        <f>IF(tblHRAnalytics[[#This Row],[Attrition]]="Yes",1,0)</f>
        <v>0</v>
      </c>
    </row>
    <row r="1278" spans="1:36">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c r="AJ1278">
        <f>IF(tblHRAnalytics[[#This Row],[Attrition]]="Yes",1,0)</f>
        <v>0</v>
      </c>
    </row>
    <row r="1279" spans="1:36">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c r="AJ1279">
        <f>IF(tblHRAnalytics[[#This Row],[Attrition]]="Yes",1,0)</f>
        <v>0</v>
      </c>
    </row>
    <row r="1280" spans="1:36">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c r="AJ1280">
        <f>IF(tblHRAnalytics[[#This Row],[Attrition]]="Yes",1,0)</f>
        <v>0</v>
      </c>
    </row>
    <row r="1281" spans="1:36">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c r="AJ1281">
        <f>IF(tblHRAnalytics[[#This Row],[Attrition]]="Yes",1,0)</f>
        <v>1</v>
      </c>
    </row>
    <row r="1282" spans="1:36">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c r="AJ1282">
        <f>IF(tblHRAnalytics[[#This Row],[Attrition]]="Yes",1,0)</f>
        <v>0</v>
      </c>
    </row>
    <row r="1283" spans="1:36">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c r="AJ1283">
        <f>IF(tblHRAnalytics[[#This Row],[Attrition]]="Yes",1,0)</f>
        <v>1</v>
      </c>
    </row>
    <row r="1284" spans="1:36">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c r="AJ1284">
        <f>IF(tblHRAnalytics[[#This Row],[Attrition]]="Yes",1,0)</f>
        <v>0</v>
      </c>
    </row>
    <row r="1285" spans="1:36">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c r="AJ1285">
        <f>IF(tblHRAnalytics[[#This Row],[Attrition]]="Yes",1,0)</f>
        <v>0</v>
      </c>
    </row>
    <row r="1286" spans="1:36">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c r="AJ1286">
        <f>IF(tblHRAnalytics[[#This Row],[Attrition]]="Yes",1,0)</f>
        <v>0</v>
      </c>
    </row>
    <row r="1287" spans="1:36">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c r="AJ1287">
        <f>IF(tblHRAnalytics[[#This Row],[Attrition]]="Yes",1,0)</f>
        <v>0</v>
      </c>
    </row>
    <row r="1288" spans="1:36">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c r="AJ1288">
        <f>IF(tblHRAnalytics[[#This Row],[Attrition]]="Yes",1,0)</f>
        <v>0</v>
      </c>
    </row>
    <row r="1289" spans="1:36">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c r="AJ1289">
        <f>IF(tblHRAnalytics[[#This Row],[Attrition]]="Yes",1,0)</f>
        <v>0</v>
      </c>
    </row>
    <row r="1290" spans="1:36">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c r="AJ1290">
        <f>IF(tblHRAnalytics[[#This Row],[Attrition]]="Yes",1,0)</f>
        <v>0</v>
      </c>
    </row>
    <row r="1291" spans="1:36">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c r="AJ1291">
        <f>IF(tblHRAnalytics[[#This Row],[Attrition]]="Yes",1,0)</f>
        <v>0</v>
      </c>
    </row>
    <row r="1292" spans="1:36">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c r="AJ1292">
        <f>IF(tblHRAnalytics[[#This Row],[Attrition]]="Yes",1,0)</f>
        <v>1</v>
      </c>
    </row>
    <row r="1293" spans="1:36">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c r="AJ1293">
        <f>IF(tblHRAnalytics[[#This Row],[Attrition]]="Yes",1,0)</f>
        <v>1</v>
      </c>
    </row>
    <row r="1294" spans="1:36">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c r="AJ1294">
        <f>IF(tblHRAnalytics[[#This Row],[Attrition]]="Yes",1,0)</f>
        <v>0</v>
      </c>
    </row>
    <row r="1295" spans="1:36">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c r="AJ1295">
        <f>IF(tblHRAnalytics[[#This Row],[Attrition]]="Yes",1,0)</f>
        <v>0</v>
      </c>
    </row>
    <row r="1296" spans="1:36">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c r="AJ1296">
        <f>IF(tblHRAnalytics[[#This Row],[Attrition]]="Yes",1,0)</f>
        <v>0</v>
      </c>
    </row>
    <row r="1297" spans="1:36">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c r="AJ1297">
        <f>IF(tblHRAnalytics[[#This Row],[Attrition]]="Yes",1,0)</f>
        <v>0</v>
      </c>
    </row>
    <row r="1298" spans="1:36">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c r="AJ1298">
        <f>IF(tblHRAnalytics[[#This Row],[Attrition]]="Yes",1,0)</f>
        <v>0</v>
      </c>
    </row>
    <row r="1299" spans="1:36">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c r="AJ1299">
        <f>IF(tblHRAnalytics[[#This Row],[Attrition]]="Yes",1,0)</f>
        <v>1</v>
      </c>
    </row>
    <row r="1300" spans="1:36">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c r="AJ1300">
        <f>IF(tblHRAnalytics[[#This Row],[Attrition]]="Yes",1,0)</f>
        <v>1</v>
      </c>
    </row>
    <row r="1301" spans="1:36">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c r="AJ1301">
        <f>IF(tblHRAnalytics[[#This Row],[Attrition]]="Yes",1,0)</f>
        <v>0</v>
      </c>
    </row>
    <row r="1302" spans="1:36">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c r="AJ1302">
        <f>IF(tblHRAnalytics[[#This Row],[Attrition]]="Yes",1,0)</f>
        <v>0</v>
      </c>
    </row>
    <row r="1303" spans="1:36">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c r="AJ1303">
        <f>IF(tblHRAnalytics[[#This Row],[Attrition]]="Yes",1,0)</f>
        <v>0</v>
      </c>
    </row>
    <row r="1304" spans="1:36">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c r="AJ1304">
        <f>IF(tblHRAnalytics[[#This Row],[Attrition]]="Yes",1,0)</f>
        <v>0</v>
      </c>
    </row>
    <row r="1305" spans="1:36">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c r="AJ1305">
        <f>IF(tblHRAnalytics[[#This Row],[Attrition]]="Yes",1,0)</f>
        <v>0</v>
      </c>
    </row>
    <row r="1306" spans="1:36">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c r="AJ1306">
        <f>IF(tblHRAnalytics[[#This Row],[Attrition]]="Yes",1,0)</f>
        <v>0</v>
      </c>
    </row>
    <row r="1307" spans="1:36">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c r="AJ1307">
        <f>IF(tblHRAnalytics[[#This Row],[Attrition]]="Yes",1,0)</f>
        <v>0</v>
      </c>
    </row>
    <row r="1308" spans="1:36">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c r="AJ1308">
        <f>IF(tblHRAnalytics[[#This Row],[Attrition]]="Yes",1,0)</f>
        <v>0</v>
      </c>
    </row>
    <row r="1309" spans="1:36">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c r="AJ1309">
        <f>IF(tblHRAnalytics[[#This Row],[Attrition]]="Yes",1,0)</f>
        <v>0</v>
      </c>
    </row>
    <row r="1310" spans="1:36">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c r="AJ1310">
        <f>IF(tblHRAnalytics[[#This Row],[Attrition]]="Yes",1,0)</f>
        <v>0</v>
      </c>
    </row>
    <row r="1311" spans="1:36">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c r="AJ1311">
        <f>IF(tblHRAnalytics[[#This Row],[Attrition]]="Yes",1,0)</f>
        <v>0</v>
      </c>
    </row>
    <row r="1312" spans="1:36">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c r="AJ1312">
        <f>IF(tblHRAnalytics[[#This Row],[Attrition]]="Yes",1,0)</f>
        <v>0</v>
      </c>
    </row>
    <row r="1313" spans="1:36">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c r="AJ1313">
        <f>IF(tblHRAnalytics[[#This Row],[Attrition]]="Yes",1,0)</f>
        <v>0</v>
      </c>
    </row>
    <row r="1314" spans="1:36">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c r="AJ1314">
        <f>IF(tblHRAnalytics[[#This Row],[Attrition]]="Yes",1,0)</f>
        <v>1</v>
      </c>
    </row>
    <row r="1315" spans="1:36">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c r="AJ1315">
        <f>IF(tblHRAnalytics[[#This Row],[Attrition]]="Yes",1,0)</f>
        <v>1</v>
      </c>
    </row>
    <row r="1316" spans="1:36">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c r="AJ1316">
        <f>IF(tblHRAnalytics[[#This Row],[Attrition]]="Yes",1,0)</f>
        <v>0</v>
      </c>
    </row>
    <row r="1317" spans="1:36">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c r="AJ1317">
        <f>IF(tblHRAnalytics[[#This Row],[Attrition]]="Yes",1,0)</f>
        <v>0</v>
      </c>
    </row>
    <row r="1318" spans="1:36">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c r="AJ1318">
        <f>IF(tblHRAnalytics[[#This Row],[Attrition]]="Yes",1,0)</f>
        <v>0</v>
      </c>
    </row>
    <row r="1319" spans="1:36">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c r="AJ1319">
        <f>IF(tblHRAnalytics[[#This Row],[Attrition]]="Yes",1,0)</f>
        <v>0</v>
      </c>
    </row>
    <row r="1320" spans="1:36">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c r="AJ1320">
        <f>IF(tblHRAnalytics[[#This Row],[Attrition]]="Yes",1,0)</f>
        <v>0</v>
      </c>
    </row>
    <row r="1321" spans="1:36">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c r="AJ1321">
        <f>IF(tblHRAnalytics[[#This Row],[Attrition]]="Yes",1,0)</f>
        <v>0</v>
      </c>
    </row>
    <row r="1322" spans="1:36">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c r="AJ1322">
        <f>IF(tblHRAnalytics[[#This Row],[Attrition]]="Yes",1,0)</f>
        <v>0</v>
      </c>
    </row>
    <row r="1323" spans="1:36">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c r="AJ1323">
        <f>IF(tblHRAnalytics[[#This Row],[Attrition]]="Yes",1,0)</f>
        <v>0</v>
      </c>
    </row>
    <row r="1324" spans="1:36">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c r="AJ1324">
        <f>IF(tblHRAnalytics[[#This Row],[Attrition]]="Yes",1,0)</f>
        <v>0</v>
      </c>
    </row>
    <row r="1325" spans="1:36">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c r="AJ1325">
        <f>IF(tblHRAnalytics[[#This Row],[Attrition]]="Yes",1,0)</f>
        <v>0</v>
      </c>
    </row>
    <row r="1326" spans="1:36">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c r="AJ1326">
        <f>IF(tblHRAnalytics[[#This Row],[Attrition]]="Yes",1,0)</f>
        <v>0</v>
      </c>
    </row>
    <row r="1327" spans="1:36">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c r="AJ1327">
        <f>IF(tblHRAnalytics[[#This Row],[Attrition]]="Yes",1,0)</f>
        <v>0</v>
      </c>
    </row>
    <row r="1328" spans="1:36">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c r="AJ1328">
        <f>IF(tblHRAnalytics[[#This Row],[Attrition]]="Yes",1,0)</f>
        <v>1</v>
      </c>
    </row>
    <row r="1329" spans="1:36">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c r="AJ1329">
        <f>IF(tblHRAnalytics[[#This Row],[Attrition]]="Yes",1,0)</f>
        <v>0</v>
      </c>
    </row>
    <row r="1330" spans="1:36">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c r="AJ1330">
        <f>IF(tblHRAnalytics[[#This Row],[Attrition]]="Yes",1,0)</f>
        <v>0</v>
      </c>
    </row>
    <row r="1331" spans="1:36">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c r="AJ1331">
        <f>IF(tblHRAnalytics[[#This Row],[Attrition]]="Yes",1,0)</f>
        <v>0</v>
      </c>
    </row>
    <row r="1332" spans="1:36">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c r="AJ1332">
        <f>IF(tblHRAnalytics[[#This Row],[Attrition]]="Yes",1,0)</f>
        <v>0</v>
      </c>
    </row>
    <row r="1333" spans="1:36">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c r="AJ1333">
        <f>IF(tblHRAnalytics[[#This Row],[Attrition]]="Yes",1,0)</f>
        <v>0</v>
      </c>
    </row>
    <row r="1334" spans="1:36">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c r="AJ1334">
        <f>IF(tblHRAnalytics[[#This Row],[Attrition]]="Yes",1,0)</f>
        <v>1</v>
      </c>
    </row>
    <row r="1335" spans="1:36">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c r="AJ1335">
        <f>IF(tblHRAnalytics[[#This Row],[Attrition]]="Yes",1,0)</f>
        <v>1</v>
      </c>
    </row>
    <row r="1336" spans="1:36">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c r="AJ1336">
        <f>IF(tblHRAnalytics[[#This Row],[Attrition]]="Yes",1,0)</f>
        <v>0</v>
      </c>
    </row>
    <row r="1337" spans="1:36">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c r="AJ1337">
        <f>IF(tblHRAnalytics[[#This Row],[Attrition]]="Yes",1,0)</f>
        <v>0</v>
      </c>
    </row>
    <row r="1338" spans="1:36">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c r="AJ1338">
        <f>IF(tblHRAnalytics[[#This Row],[Attrition]]="Yes",1,0)</f>
        <v>0</v>
      </c>
    </row>
    <row r="1339" spans="1:36">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c r="AJ1339">
        <f>IF(tblHRAnalytics[[#This Row],[Attrition]]="Yes",1,0)</f>
        <v>0</v>
      </c>
    </row>
    <row r="1340" spans="1:36">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c r="AJ1340">
        <f>IF(tblHRAnalytics[[#This Row],[Attrition]]="Yes",1,0)</f>
        <v>1</v>
      </c>
    </row>
    <row r="1341" spans="1:36">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c r="AJ1341">
        <f>IF(tblHRAnalytics[[#This Row],[Attrition]]="Yes",1,0)</f>
        <v>1</v>
      </c>
    </row>
    <row r="1342" spans="1:36">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c r="AJ1342">
        <f>IF(tblHRAnalytics[[#This Row],[Attrition]]="Yes",1,0)</f>
        <v>0</v>
      </c>
    </row>
    <row r="1343" spans="1:36">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c r="AJ1343">
        <f>IF(tblHRAnalytics[[#This Row],[Attrition]]="Yes",1,0)</f>
        <v>0</v>
      </c>
    </row>
    <row r="1344" spans="1:36">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c r="AJ1344">
        <f>IF(tblHRAnalytics[[#This Row],[Attrition]]="Yes",1,0)</f>
        <v>0</v>
      </c>
    </row>
    <row r="1345" spans="1:36">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c r="AJ1345">
        <f>IF(tblHRAnalytics[[#This Row],[Attrition]]="Yes",1,0)</f>
        <v>0</v>
      </c>
    </row>
    <row r="1346" spans="1:36">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c r="AJ1346">
        <f>IF(tblHRAnalytics[[#This Row],[Attrition]]="Yes",1,0)</f>
        <v>0</v>
      </c>
    </row>
    <row r="1347" spans="1:36">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c r="AJ1347">
        <f>IF(tblHRAnalytics[[#This Row],[Attrition]]="Yes",1,0)</f>
        <v>0</v>
      </c>
    </row>
    <row r="1348" spans="1:36">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c r="AJ1348">
        <f>IF(tblHRAnalytics[[#This Row],[Attrition]]="Yes",1,0)</f>
        <v>0</v>
      </c>
    </row>
    <row r="1349" spans="1:36">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c r="AJ1349">
        <f>IF(tblHRAnalytics[[#This Row],[Attrition]]="Yes",1,0)</f>
        <v>0</v>
      </c>
    </row>
    <row r="1350" spans="1:36">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c r="AJ1350">
        <f>IF(tblHRAnalytics[[#This Row],[Attrition]]="Yes",1,0)</f>
        <v>0</v>
      </c>
    </row>
    <row r="1351" spans="1:36">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c r="AJ1351">
        <f>IF(tblHRAnalytics[[#This Row],[Attrition]]="Yes",1,0)</f>
        <v>0</v>
      </c>
    </row>
    <row r="1352" spans="1:36">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c r="AJ1352">
        <f>IF(tblHRAnalytics[[#This Row],[Attrition]]="Yes",1,0)</f>
        <v>0</v>
      </c>
    </row>
    <row r="1353" spans="1:36">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c r="AJ1353">
        <f>IF(tblHRAnalytics[[#This Row],[Attrition]]="Yes",1,0)</f>
        <v>0</v>
      </c>
    </row>
    <row r="1354" spans="1:36">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c r="AJ1354">
        <f>IF(tblHRAnalytics[[#This Row],[Attrition]]="Yes",1,0)</f>
        <v>0</v>
      </c>
    </row>
    <row r="1355" spans="1:36">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c r="AJ1355">
        <f>IF(tblHRAnalytics[[#This Row],[Attrition]]="Yes",1,0)</f>
        <v>1</v>
      </c>
    </row>
    <row r="1356" spans="1:36">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c r="AJ1356">
        <f>IF(tblHRAnalytics[[#This Row],[Attrition]]="Yes",1,0)</f>
        <v>1</v>
      </c>
    </row>
    <row r="1357" spans="1:36">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c r="AJ1357">
        <f>IF(tblHRAnalytics[[#This Row],[Attrition]]="Yes",1,0)</f>
        <v>0</v>
      </c>
    </row>
    <row r="1358" spans="1:36">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c r="AJ1358">
        <f>IF(tblHRAnalytics[[#This Row],[Attrition]]="Yes",1,0)</f>
        <v>0</v>
      </c>
    </row>
    <row r="1359" spans="1:36">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c r="AJ1359">
        <f>IF(tblHRAnalytics[[#This Row],[Attrition]]="Yes",1,0)</f>
        <v>0</v>
      </c>
    </row>
    <row r="1360" spans="1:36">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c r="AJ1360">
        <f>IF(tblHRAnalytics[[#This Row],[Attrition]]="Yes",1,0)</f>
        <v>0</v>
      </c>
    </row>
    <row r="1361" spans="1:36">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c r="AJ1361">
        <f>IF(tblHRAnalytics[[#This Row],[Attrition]]="Yes",1,0)</f>
        <v>0</v>
      </c>
    </row>
    <row r="1362" spans="1:36">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c r="AJ1362">
        <f>IF(tblHRAnalytics[[#This Row],[Attrition]]="Yes",1,0)</f>
        <v>0</v>
      </c>
    </row>
    <row r="1363" spans="1:36">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c r="AJ1363">
        <f>IF(tblHRAnalytics[[#This Row],[Attrition]]="Yes",1,0)</f>
        <v>0</v>
      </c>
    </row>
    <row r="1364" spans="1:36">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c r="AJ1364">
        <f>IF(tblHRAnalytics[[#This Row],[Attrition]]="Yes",1,0)</f>
        <v>0</v>
      </c>
    </row>
    <row r="1365" spans="1:36">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c r="AJ1365">
        <f>IF(tblHRAnalytics[[#This Row],[Attrition]]="Yes",1,0)</f>
        <v>0</v>
      </c>
    </row>
    <row r="1366" spans="1:36">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c r="AJ1366">
        <f>IF(tblHRAnalytics[[#This Row],[Attrition]]="Yes",1,0)</f>
        <v>0</v>
      </c>
    </row>
    <row r="1367" spans="1:36">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c r="AJ1367">
        <f>IF(tblHRAnalytics[[#This Row],[Attrition]]="Yes",1,0)</f>
        <v>1</v>
      </c>
    </row>
    <row r="1368" spans="1:36">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c r="AJ1368">
        <f>IF(tblHRAnalytics[[#This Row],[Attrition]]="Yes",1,0)</f>
        <v>0</v>
      </c>
    </row>
    <row r="1369" spans="1:36">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c r="AJ1369">
        <f>IF(tblHRAnalytics[[#This Row],[Attrition]]="Yes",1,0)</f>
        <v>0</v>
      </c>
    </row>
    <row r="1370" spans="1:36">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c r="AJ1370">
        <f>IF(tblHRAnalytics[[#This Row],[Attrition]]="Yes",1,0)</f>
        <v>0</v>
      </c>
    </row>
    <row r="1371" spans="1:36">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c r="AJ1371">
        <f>IF(tblHRAnalytics[[#This Row],[Attrition]]="Yes",1,0)</f>
        <v>1</v>
      </c>
    </row>
    <row r="1372" spans="1:36">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c r="AJ1372">
        <f>IF(tblHRAnalytics[[#This Row],[Attrition]]="Yes",1,0)</f>
        <v>0</v>
      </c>
    </row>
    <row r="1373" spans="1:36">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c r="AJ1373">
        <f>IF(tblHRAnalytics[[#This Row],[Attrition]]="Yes",1,0)</f>
        <v>0</v>
      </c>
    </row>
    <row r="1374" spans="1:36">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c r="AJ1374">
        <f>IF(tblHRAnalytics[[#This Row],[Attrition]]="Yes",1,0)</f>
        <v>0</v>
      </c>
    </row>
    <row r="1375" spans="1:36">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c r="AJ1375">
        <f>IF(tblHRAnalytics[[#This Row],[Attrition]]="Yes",1,0)</f>
        <v>0</v>
      </c>
    </row>
    <row r="1376" spans="1:36">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c r="AJ1376">
        <f>IF(tblHRAnalytics[[#This Row],[Attrition]]="Yes",1,0)</f>
        <v>0</v>
      </c>
    </row>
    <row r="1377" spans="1:36">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c r="AJ1377">
        <f>IF(tblHRAnalytics[[#This Row],[Attrition]]="Yes",1,0)</f>
        <v>1</v>
      </c>
    </row>
    <row r="1378" spans="1:36">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c r="AJ1378">
        <f>IF(tblHRAnalytics[[#This Row],[Attrition]]="Yes",1,0)</f>
        <v>0</v>
      </c>
    </row>
    <row r="1379" spans="1:36">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c r="AJ1379">
        <f>IF(tblHRAnalytics[[#This Row],[Attrition]]="Yes",1,0)</f>
        <v>0</v>
      </c>
    </row>
    <row r="1380" spans="1:36">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c r="AJ1380">
        <f>IF(tblHRAnalytics[[#This Row],[Attrition]]="Yes",1,0)</f>
        <v>0</v>
      </c>
    </row>
    <row r="1381" spans="1:36">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c r="AJ1381">
        <f>IF(tblHRAnalytics[[#This Row],[Attrition]]="Yes",1,0)</f>
        <v>1</v>
      </c>
    </row>
    <row r="1382" spans="1:36">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c r="AJ1382">
        <f>IF(tblHRAnalytics[[#This Row],[Attrition]]="Yes",1,0)</f>
        <v>0</v>
      </c>
    </row>
    <row r="1383" spans="1:36">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c r="AJ1383">
        <f>IF(tblHRAnalytics[[#This Row],[Attrition]]="Yes",1,0)</f>
        <v>0</v>
      </c>
    </row>
    <row r="1384" spans="1:36">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c r="AJ1384">
        <f>IF(tblHRAnalytics[[#This Row],[Attrition]]="Yes",1,0)</f>
        <v>0</v>
      </c>
    </row>
    <row r="1385" spans="1:36">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c r="AJ1385">
        <f>IF(tblHRAnalytics[[#This Row],[Attrition]]="Yes",1,0)</f>
        <v>0</v>
      </c>
    </row>
    <row r="1386" spans="1:36">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c r="AJ1386">
        <f>IF(tblHRAnalytics[[#This Row],[Attrition]]="Yes",1,0)</f>
        <v>0</v>
      </c>
    </row>
    <row r="1387" spans="1:36">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c r="AJ1387">
        <f>IF(tblHRAnalytics[[#This Row],[Attrition]]="Yes",1,0)</f>
        <v>0</v>
      </c>
    </row>
    <row r="1388" spans="1:36">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c r="AJ1388">
        <f>IF(tblHRAnalytics[[#This Row],[Attrition]]="Yes",1,0)</f>
        <v>0</v>
      </c>
    </row>
    <row r="1389" spans="1:36">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c r="AJ1389">
        <f>IF(tblHRAnalytics[[#This Row],[Attrition]]="Yes",1,0)</f>
        <v>0</v>
      </c>
    </row>
    <row r="1390" spans="1:36">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c r="AJ1390">
        <f>IF(tblHRAnalytics[[#This Row],[Attrition]]="Yes",1,0)</f>
        <v>0</v>
      </c>
    </row>
    <row r="1391" spans="1:36">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c r="AJ1391">
        <f>IF(tblHRAnalytics[[#This Row],[Attrition]]="Yes",1,0)</f>
        <v>0</v>
      </c>
    </row>
    <row r="1392" spans="1:36">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c r="AJ1392">
        <f>IF(tblHRAnalytics[[#This Row],[Attrition]]="Yes",1,0)</f>
        <v>1</v>
      </c>
    </row>
    <row r="1393" spans="1:36">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c r="AJ1393">
        <f>IF(tblHRAnalytics[[#This Row],[Attrition]]="Yes",1,0)</f>
        <v>0</v>
      </c>
    </row>
    <row r="1394" spans="1:36">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c r="AJ1394">
        <f>IF(tblHRAnalytics[[#This Row],[Attrition]]="Yes",1,0)</f>
        <v>0</v>
      </c>
    </row>
    <row r="1395" spans="1:36">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c r="AJ1395">
        <f>IF(tblHRAnalytics[[#This Row],[Attrition]]="Yes",1,0)</f>
        <v>0</v>
      </c>
    </row>
    <row r="1396" spans="1:36">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c r="AJ1396">
        <f>IF(tblHRAnalytics[[#This Row],[Attrition]]="Yes",1,0)</f>
        <v>0</v>
      </c>
    </row>
    <row r="1397" spans="1:36">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c r="AJ1397">
        <f>IF(tblHRAnalytics[[#This Row],[Attrition]]="Yes",1,0)</f>
        <v>1</v>
      </c>
    </row>
    <row r="1398" spans="1:36">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c r="AJ1398">
        <f>IF(tblHRAnalytics[[#This Row],[Attrition]]="Yes",1,0)</f>
        <v>1</v>
      </c>
    </row>
    <row r="1399" spans="1:36">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c r="AJ1399">
        <f>IF(tblHRAnalytics[[#This Row],[Attrition]]="Yes",1,0)</f>
        <v>0</v>
      </c>
    </row>
    <row r="1400" spans="1:36">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c r="AJ1400">
        <f>IF(tblHRAnalytics[[#This Row],[Attrition]]="Yes",1,0)</f>
        <v>0</v>
      </c>
    </row>
    <row r="1401" spans="1:36">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c r="AJ1401">
        <f>IF(tblHRAnalytics[[#This Row],[Attrition]]="Yes",1,0)</f>
        <v>0</v>
      </c>
    </row>
    <row r="1402" spans="1:36">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c r="AJ1402">
        <f>IF(tblHRAnalytics[[#This Row],[Attrition]]="Yes",1,0)</f>
        <v>0</v>
      </c>
    </row>
    <row r="1403" spans="1:36">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c r="AJ1403">
        <f>IF(tblHRAnalytics[[#This Row],[Attrition]]="Yes",1,0)</f>
        <v>0</v>
      </c>
    </row>
    <row r="1404" spans="1:36">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c r="AJ1404">
        <f>IF(tblHRAnalytics[[#This Row],[Attrition]]="Yes",1,0)</f>
        <v>0</v>
      </c>
    </row>
    <row r="1405" spans="1:36">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c r="AJ1405">
        <f>IF(tblHRAnalytics[[#This Row],[Attrition]]="Yes",1,0)</f>
        <v>0</v>
      </c>
    </row>
    <row r="1406" spans="1:36">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c r="AJ1406">
        <f>IF(tblHRAnalytics[[#This Row],[Attrition]]="Yes",1,0)</f>
        <v>0</v>
      </c>
    </row>
    <row r="1407" spans="1:36">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c r="AJ1407">
        <f>IF(tblHRAnalytics[[#This Row],[Attrition]]="Yes",1,0)</f>
        <v>0</v>
      </c>
    </row>
    <row r="1408" spans="1:36">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c r="AJ1408">
        <f>IF(tblHRAnalytics[[#This Row],[Attrition]]="Yes",1,0)</f>
        <v>0</v>
      </c>
    </row>
    <row r="1409" spans="1:36">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c r="AJ1409">
        <f>IF(tblHRAnalytics[[#This Row],[Attrition]]="Yes",1,0)</f>
        <v>0</v>
      </c>
    </row>
    <row r="1410" spans="1:36">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c r="AJ1410">
        <f>IF(tblHRAnalytics[[#This Row],[Attrition]]="Yes",1,0)</f>
        <v>0</v>
      </c>
    </row>
    <row r="1411" spans="1:36">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c r="AJ1411">
        <f>IF(tblHRAnalytics[[#This Row],[Attrition]]="Yes",1,0)</f>
        <v>0</v>
      </c>
    </row>
    <row r="1412" spans="1:36">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c r="AJ1412">
        <f>IF(tblHRAnalytics[[#This Row],[Attrition]]="Yes",1,0)</f>
        <v>0</v>
      </c>
    </row>
    <row r="1413" spans="1:36">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c r="AJ1413">
        <f>IF(tblHRAnalytics[[#This Row],[Attrition]]="Yes",1,0)</f>
        <v>0</v>
      </c>
    </row>
    <row r="1414" spans="1:36">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c r="AJ1414">
        <f>IF(tblHRAnalytics[[#This Row],[Attrition]]="Yes",1,0)</f>
        <v>0</v>
      </c>
    </row>
    <row r="1415" spans="1:36">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c r="AJ1415">
        <f>IF(tblHRAnalytics[[#This Row],[Attrition]]="Yes",1,0)</f>
        <v>0</v>
      </c>
    </row>
    <row r="1416" spans="1:36">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c r="AJ1416">
        <f>IF(tblHRAnalytics[[#This Row],[Attrition]]="Yes",1,0)</f>
        <v>0</v>
      </c>
    </row>
    <row r="1417" spans="1:36">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c r="AJ1417">
        <f>IF(tblHRAnalytics[[#This Row],[Attrition]]="Yes",1,0)</f>
        <v>0</v>
      </c>
    </row>
    <row r="1418" spans="1:36">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c r="AJ1418">
        <f>IF(tblHRAnalytics[[#This Row],[Attrition]]="Yes",1,0)</f>
        <v>0</v>
      </c>
    </row>
    <row r="1419" spans="1:36">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c r="AJ1419">
        <f>IF(tblHRAnalytics[[#This Row],[Attrition]]="Yes",1,0)</f>
        <v>0</v>
      </c>
    </row>
    <row r="1420" spans="1:36">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c r="AJ1420">
        <f>IF(tblHRAnalytics[[#This Row],[Attrition]]="Yes",1,0)</f>
        <v>0</v>
      </c>
    </row>
    <row r="1421" spans="1:36">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c r="AJ1421">
        <f>IF(tblHRAnalytics[[#This Row],[Attrition]]="Yes",1,0)</f>
        <v>0</v>
      </c>
    </row>
    <row r="1422" spans="1:36">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c r="AJ1422">
        <f>IF(tblHRAnalytics[[#This Row],[Attrition]]="Yes",1,0)</f>
        <v>0</v>
      </c>
    </row>
    <row r="1423" spans="1:36">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c r="AJ1423">
        <f>IF(tblHRAnalytics[[#This Row],[Attrition]]="Yes",1,0)</f>
        <v>0</v>
      </c>
    </row>
    <row r="1424" spans="1:36">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c r="AJ1424">
        <f>IF(tblHRAnalytics[[#This Row],[Attrition]]="Yes",1,0)</f>
        <v>0</v>
      </c>
    </row>
    <row r="1425" spans="1:36">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c r="AJ1425">
        <f>IF(tblHRAnalytics[[#This Row],[Attrition]]="Yes",1,0)</f>
        <v>0</v>
      </c>
    </row>
    <row r="1426" spans="1:36">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c r="AJ1426">
        <f>IF(tblHRAnalytics[[#This Row],[Attrition]]="Yes",1,0)</f>
        <v>0</v>
      </c>
    </row>
    <row r="1427" spans="1:36">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c r="AJ1427">
        <f>IF(tblHRAnalytics[[#This Row],[Attrition]]="Yes",1,0)</f>
        <v>0</v>
      </c>
    </row>
    <row r="1428" spans="1:36">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c r="AJ1428">
        <f>IF(tblHRAnalytics[[#This Row],[Attrition]]="Yes",1,0)</f>
        <v>0</v>
      </c>
    </row>
    <row r="1429" spans="1:36">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c r="AJ1429">
        <f>IF(tblHRAnalytics[[#This Row],[Attrition]]="Yes",1,0)</f>
        <v>0</v>
      </c>
    </row>
    <row r="1430" spans="1:36">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c r="AJ1430">
        <f>IF(tblHRAnalytics[[#This Row],[Attrition]]="Yes",1,0)</f>
        <v>0</v>
      </c>
    </row>
    <row r="1431" spans="1:36">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c r="AJ1431">
        <f>IF(tblHRAnalytics[[#This Row],[Attrition]]="Yes",1,0)</f>
        <v>0</v>
      </c>
    </row>
    <row r="1432" spans="1:36">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c r="AJ1432">
        <f>IF(tblHRAnalytics[[#This Row],[Attrition]]="Yes",1,0)</f>
        <v>0</v>
      </c>
    </row>
    <row r="1433" spans="1:36">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c r="AJ1433">
        <f>IF(tblHRAnalytics[[#This Row],[Attrition]]="Yes",1,0)</f>
        <v>0</v>
      </c>
    </row>
    <row r="1434" spans="1:36">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c r="AJ1434">
        <f>IF(tblHRAnalytics[[#This Row],[Attrition]]="Yes",1,0)</f>
        <v>0</v>
      </c>
    </row>
    <row r="1435" spans="1:36">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c r="AJ1435">
        <f>IF(tblHRAnalytics[[#This Row],[Attrition]]="Yes",1,0)</f>
        <v>0</v>
      </c>
    </row>
    <row r="1436" spans="1:36">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c r="AJ1436">
        <f>IF(tblHRAnalytics[[#This Row],[Attrition]]="Yes",1,0)</f>
        <v>0</v>
      </c>
    </row>
    <row r="1437" spans="1:36">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c r="AJ1437">
        <f>IF(tblHRAnalytics[[#This Row],[Attrition]]="Yes",1,0)</f>
        <v>0</v>
      </c>
    </row>
    <row r="1438" spans="1:36">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c r="AJ1438">
        <f>IF(tblHRAnalytics[[#This Row],[Attrition]]="Yes",1,0)</f>
        <v>0</v>
      </c>
    </row>
    <row r="1439" spans="1:36">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c r="AJ1439">
        <f>IF(tblHRAnalytics[[#This Row],[Attrition]]="Yes",1,0)</f>
        <v>0</v>
      </c>
    </row>
    <row r="1440" spans="1:36">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c r="AJ1440">
        <f>IF(tblHRAnalytics[[#This Row],[Attrition]]="Yes",1,0)</f>
        <v>1</v>
      </c>
    </row>
    <row r="1441" spans="1:36">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c r="AJ1441">
        <f>IF(tblHRAnalytics[[#This Row],[Attrition]]="Yes",1,0)</f>
        <v>0</v>
      </c>
    </row>
    <row r="1442" spans="1:36">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c r="AJ1442">
        <f>IF(tblHRAnalytics[[#This Row],[Attrition]]="Yes",1,0)</f>
        <v>0</v>
      </c>
    </row>
    <row r="1443" spans="1:36">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c r="AJ1443">
        <f>IF(tblHRAnalytics[[#This Row],[Attrition]]="Yes",1,0)</f>
        <v>0</v>
      </c>
    </row>
    <row r="1444" spans="1:36">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c r="AJ1444">
        <f>IF(tblHRAnalytics[[#This Row],[Attrition]]="Yes",1,0)</f>
        <v>1</v>
      </c>
    </row>
    <row r="1445" spans="1:36">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c r="AJ1445">
        <f>IF(tblHRAnalytics[[#This Row],[Attrition]]="Yes",1,0)</f>
        <v>0</v>
      </c>
    </row>
    <row r="1446" spans="1:36">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c r="AJ1446">
        <f>IF(tblHRAnalytics[[#This Row],[Attrition]]="Yes",1,0)</f>
        <v>1</v>
      </c>
    </row>
    <row r="1447" spans="1:36">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c r="AJ1447">
        <f>IF(tblHRAnalytics[[#This Row],[Attrition]]="Yes",1,0)</f>
        <v>0</v>
      </c>
    </row>
    <row r="1448" spans="1:36">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c r="AJ1448">
        <f>IF(tblHRAnalytics[[#This Row],[Attrition]]="Yes",1,0)</f>
        <v>0</v>
      </c>
    </row>
    <row r="1449" spans="1:36">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c r="AJ1449">
        <f>IF(tblHRAnalytics[[#This Row],[Attrition]]="Yes",1,0)</f>
        <v>0</v>
      </c>
    </row>
    <row r="1450" spans="1:36">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c r="AJ1450">
        <f>IF(tblHRAnalytics[[#This Row],[Attrition]]="Yes",1,0)</f>
        <v>0</v>
      </c>
    </row>
    <row r="1451" spans="1:36">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c r="AJ1451">
        <f>IF(tblHRAnalytics[[#This Row],[Attrition]]="Yes",1,0)</f>
        <v>0</v>
      </c>
    </row>
    <row r="1452" spans="1:36">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c r="AJ1452">
        <f>IF(tblHRAnalytics[[#This Row],[Attrition]]="Yes",1,0)</f>
        <v>0</v>
      </c>
    </row>
    <row r="1453" spans="1:36">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c r="AJ1453">
        <f>IF(tblHRAnalytics[[#This Row],[Attrition]]="Yes",1,0)</f>
        <v>0</v>
      </c>
    </row>
    <row r="1454" spans="1:36">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c r="AJ1454">
        <f>IF(tblHRAnalytics[[#This Row],[Attrition]]="Yes",1,0)</f>
        <v>1</v>
      </c>
    </row>
    <row r="1455" spans="1:36">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c r="AJ1455">
        <f>IF(tblHRAnalytics[[#This Row],[Attrition]]="Yes",1,0)</f>
        <v>0</v>
      </c>
    </row>
    <row r="1456" spans="1:36">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c r="AJ1456">
        <f>IF(tblHRAnalytics[[#This Row],[Attrition]]="Yes",1,0)</f>
        <v>0</v>
      </c>
    </row>
    <row r="1457" spans="1:36">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c r="AJ1457">
        <f>IF(tblHRAnalytics[[#This Row],[Attrition]]="Yes",1,0)</f>
        <v>0</v>
      </c>
    </row>
    <row r="1458" spans="1:36">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c r="AJ1458">
        <f>IF(tblHRAnalytics[[#This Row],[Attrition]]="Yes",1,0)</f>
        <v>0</v>
      </c>
    </row>
    <row r="1459" spans="1:36">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c r="AJ1459">
        <f>IF(tblHRAnalytics[[#This Row],[Attrition]]="Yes",1,0)</f>
        <v>0</v>
      </c>
    </row>
    <row r="1460" spans="1:36">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c r="AJ1460">
        <f>IF(tblHRAnalytics[[#This Row],[Attrition]]="Yes",1,0)</f>
        <v>0</v>
      </c>
    </row>
    <row r="1461" spans="1:36">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c r="AJ1461">
        <f>IF(tblHRAnalytics[[#This Row],[Attrition]]="Yes",1,0)</f>
        <v>0</v>
      </c>
    </row>
    <row r="1462" spans="1:36">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c r="AJ1462">
        <f>IF(tblHRAnalytics[[#This Row],[Attrition]]="Yes",1,0)</f>
        <v>0</v>
      </c>
    </row>
    <row r="1463" spans="1:36">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c r="AJ1463">
        <f>IF(tblHRAnalytics[[#This Row],[Attrition]]="Yes",1,0)</f>
        <v>1</v>
      </c>
    </row>
    <row r="1464" spans="1:36">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c r="AJ1464">
        <f>IF(tblHRAnalytics[[#This Row],[Attrition]]="Yes",1,0)</f>
        <v>0</v>
      </c>
    </row>
    <row r="1465" spans="1:36">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c r="AJ1465">
        <f>IF(tblHRAnalytics[[#This Row],[Attrition]]="Yes",1,0)</f>
        <v>0</v>
      </c>
    </row>
    <row r="1466" spans="1:36">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c r="AJ1466">
        <f>IF(tblHRAnalytics[[#This Row],[Attrition]]="Yes",1,0)</f>
        <v>0</v>
      </c>
    </row>
    <row r="1467" spans="1:36">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c r="AJ1467">
        <f>IF(tblHRAnalytics[[#This Row],[Attrition]]="Yes",1,0)</f>
        <v>0</v>
      </c>
    </row>
    <row r="1468" spans="1:36">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c r="AJ1468">
        <f>IF(tblHRAnalytics[[#This Row],[Attrition]]="Yes",1,0)</f>
        <v>0</v>
      </c>
    </row>
    <row r="1469" spans="1:36">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c r="AJ1469">
        <f>IF(tblHRAnalytics[[#This Row],[Attrition]]="Yes",1,0)</f>
        <v>0</v>
      </c>
    </row>
    <row r="1470" spans="1:36">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c r="AJ1470">
        <f>IF(tblHRAnalytics[[#This Row],[Attrition]]="Yes",1,0)</f>
        <v>0</v>
      </c>
    </row>
    <row r="1471" spans="1:36">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c r="AJ1471">
        <f>IF(tblHRAnalytics[[#This Row],[Attrition]]="Yes",1,0)</f>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84E9F1-1723-43C3-B20C-9932195F6E82}">
  <dimension ref="A1:V33"/>
  <sheetViews>
    <sheetView showGridLines="0" tabSelected="1" topLeftCell="A2" zoomScale="65" zoomScaleNormal="65" workbookViewId="0">
      <selection activeCell="W29" sqref="W29"/>
    </sheetView>
  </sheetViews>
  <sheetFormatPr defaultRowHeight="15"/>
  <cols>
    <col min="1" max="1" width="9.140625" customWidth="1"/>
  </cols>
  <sheetData>
    <row r="1" spans="1:22" hidden="1">
      <c r="A1" s="7"/>
    </row>
    <row r="2" spans="1:22">
      <c r="A2" s="41"/>
      <c r="B2" s="41"/>
      <c r="C2" s="41"/>
      <c r="D2" s="41"/>
      <c r="E2" s="41"/>
      <c r="F2" s="41"/>
      <c r="G2" s="41"/>
      <c r="H2" s="41"/>
      <c r="I2" s="41"/>
      <c r="J2" s="41"/>
      <c r="K2" s="41"/>
      <c r="L2" s="41"/>
      <c r="M2" s="41"/>
      <c r="N2" s="41"/>
      <c r="O2" s="41"/>
      <c r="P2" s="41"/>
      <c r="Q2" s="41"/>
      <c r="R2" s="41"/>
      <c r="S2" s="41"/>
      <c r="T2" s="41"/>
      <c r="U2" s="40"/>
      <c r="V2" s="40"/>
    </row>
    <row r="3" spans="1:22">
      <c r="A3" s="41"/>
      <c r="B3" s="41"/>
      <c r="C3" s="41"/>
      <c r="D3" s="41"/>
      <c r="E3" s="41"/>
      <c r="F3" s="41"/>
      <c r="G3" s="41"/>
      <c r="H3" s="41"/>
      <c r="I3" s="41"/>
      <c r="J3" s="41"/>
      <c r="K3" s="41"/>
      <c r="L3" s="41"/>
      <c r="M3" s="41"/>
      <c r="N3" s="41"/>
      <c r="O3" s="41"/>
      <c r="P3" s="41"/>
      <c r="Q3" s="41"/>
      <c r="R3" s="41"/>
      <c r="S3" s="41"/>
      <c r="T3" s="41"/>
      <c r="U3" s="40"/>
      <c r="V3" s="40"/>
    </row>
    <row r="4" spans="1:22">
      <c r="A4" s="41"/>
      <c r="B4" s="41"/>
      <c r="C4" s="41"/>
      <c r="D4" s="41"/>
      <c r="E4" s="41"/>
      <c r="F4" s="41"/>
      <c r="G4" s="41"/>
      <c r="H4" s="41"/>
      <c r="I4" s="41"/>
      <c r="J4" s="41"/>
      <c r="K4" s="41"/>
      <c r="L4" s="41"/>
      <c r="M4" s="41"/>
      <c r="N4" s="41"/>
      <c r="O4" s="41"/>
      <c r="P4" s="41"/>
      <c r="Q4" s="41"/>
      <c r="R4" s="41"/>
      <c r="S4" s="41"/>
      <c r="T4" s="41"/>
      <c r="U4" s="40"/>
      <c r="V4" s="40"/>
    </row>
    <row r="5" spans="1:22">
      <c r="A5" s="42"/>
      <c r="B5" s="42"/>
      <c r="C5" s="42"/>
      <c r="D5" s="42"/>
      <c r="E5" s="42"/>
      <c r="F5" s="42"/>
      <c r="G5" s="42"/>
      <c r="H5" s="42"/>
      <c r="I5" s="42"/>
      <c r="J5" s="42"/>
      <c r="K5" s="42"/>
      <c r="L5" s="42"/>
      <c r="M5" s="42"/>
      <c r="N5" s="42"/>
      <c r="O5" s="42"/>
      <c r="P5" s="42"/>
      <c r="Q5" s="42"/>
      <c r="R5" s="42"/>
      <c r="S5" s="42"/>
      <c r="T5" s="42"/>
      <c r="U5" s="40"/>
      <c r="V5" s="40"/>
    </row>
    <row r="6" spans="1:22">
      <c r="A6" s="42"/>
      <c r="B6" s="42"/>
      <c r="C6" s="42"/>
      <c r="D6" s="42"/>
      <c r="E6" s="42"/>
      <c r="F6" s="42"/>
      <c r="G6" s="42"/>
      <c r="H6" s="42"/>
      <c r="I6" s="42"/>
      <c r="J6" s="42"/>
      <c r="K6" s="42"/>
      <c r="L6" s="42"/>
      <c r="M6" s="42"/>
      <c r="N6" s="42"/>
      <c r="O6" s="42"/>
      <c r="P6" s="42"/>
      <c r="Q6" s="42"/>
      <c r="R6" s="42"/>
      <c r="S6" s="42"/>
      <c r="T6" s="42"/>
      <c r="U6" s="40"/>
      <c r="V6" s="40"/>
    </row>
    <row r="7" spans="1:22">
      <c r="A7" s="42"/>
      <c r="B7" s="42"/>
      <c r="C7" s="42"/>
      <c r="D7" s="42"/>
      <c r="E7" s="42"/>
      <c r="F7" s="42"/>
      <c r="G7" s="42"/>
      <c r="H7" s="42"/>
      <c r="I7" s="42"/>
      <c r="J7" s="42"/>
      <c r="K7" s="42"/>
      <c r="L7" s="42"/>
      <c r="M7" s="42"/>
      <c r="N7" s="42"/>
      <c r="O7" s="42"/>
      <c r="P7" s="42"/>
      <c r="Q7" s="42"/>
      <c r="R7" s="42"/>
      <c r="S7" s="42"/>
      <c r="T7" s="42"/>
      <c r="U7" s="40"/>
      <c r="V7" s="40"/>
    </row>
    <row r="8" spans="1:22">
      <c r="A8" s="42"/>
      <c r="B8" s="42"/>
      <c r="C8" s="42"/>
      <c r="D8" s="42"/>
      <c r="E8" s="42"/>
      <c r="F8" s="42"/>
      <c r="G8" s="42"/>
      <c r="H8" s="42"/>
      <c r="I8" s="42"/>
      <c r="J8" s="42"/>
      <c r="K8" s="42"/>
      <c r="L8" s="42"/>
      <c r="M8" s="42"/>
      <c r="N8" s="42"/>
      <c r="O8" s="42"/>
      <c r="P8" s="42"/>
      <c r="Q8" s="42"/>
      <c r="R8" s="42"/>
      <c r="S8" s="42"/>
      <c r="T8" s="42"/>
      <c r="U8" s="40"/>
      <c r="V8" s="40"/>
    </row>
    <row r="9" spans="1:22">
      <c r="A9" s="42"/>
      <c r="B9" s="42"/>
      <c r="C9" s="42"/>
      <c r="D9" s="42"/>
      <c r="E9" s="42"/>
      <c r="F9" s="42"/>
      <c r="G9" s="42"/>
      <c r="H9" s="42"/>
      <c r="I9" s="42"/>
      <c r="J9" s="42"/>
      <c r="K9" s="42"/>
      <c r="L9" s="42"/>
      <c r="M9" s="42"/>
      <c r="N9" s="42"/>
      <c r="O9" s="42"/>
      <c r="P9" s="42"/>
      <c r="Q9" s="42"/>
      <c r="R9" s="42"/>
      <c r="S9" s="42"/>
      <c r="T9" s="42"/>
      <c r="U9" s="40"/>
      <c r="V9" s="40"/>
    </row>
    <row r="10" spans="1:22">
      <c r="A10" s="42"/>
      <c r="B10" s="42"/>
      <c r="C10" s="42"/>
      <c r="D10" s="42"/>
      <c r="E10" s="42"/>
      <c r="F10" s="42"/>
      <c r="G10" s="42"/>
      <c r="H10" s="42"/>
      <c r="I10" s="42"/>
      <c r="J10" s="42"/>
      <c r="K10" s="42"/>
      <c r="L10" s="42"/>
      <c r="M10" s="42"/>
      <c r="N10" s="42"/>
      <c r="O10" s="42"/>
      <c r="P10" s="42"/>
      <c r="Q10" s="42"/>
      <c r="R10" s="42"/>
      <c r="S10" s="42"/>
      <c r="T10" s="42"/>
      <c r="U10" s="40"/>
      <c r="V10" s="40"/>
    </row>
    <row r="11" spans="1:22">
      <c r="A11" s="42"/>
      <c r="B11" s="42"/>
      <c r="C11" s="42"/>
      <c r="D11" s="42"/>
      <c r="E11" s="42"/>
      <c r="F11" s="42"/>
      <c r="G11" s="42"/>
      <c r="H11" s="42"/>
      <c r="I11" s="42"/>
      <c r="J11" s="42"/>
      <c r="K11" s="42"/>
      <c r="L11" s="42"/>
      <c r="M11" s="42"/>
      <c r="N11" s="42"/>
      <c r="O11" s="42"/>
      <c r="P11" s="42"/>
      <c r="Q11" s="42"/>
      <c r="R11" s="42"/>
      <c r="S11" s="42"/>
      <c r="T11" s="42"/>
      <c r="U11" s="40"/>
      <c r="V11" s="40"/>
    </row>
    <row r="12" spans="1:22">
      <c r="A12" s="42"/>
      <c r="B12" s="42"/>
      <c r="C12" s="42"/>
      <c r="D12" s="42"/>
      <c r="E12" s="42"/>
      <c r="F12" s="42"/>
      <c r="G12" s="42"/>
      <c r="H12" s="42"/>
      <c r="I12" s="42"/>
      <c r="J12" s="42"/>
      <c r="K12" s="42"/>
      <c r="L12" s="42"/>
      <c r="M12" s="42"/>
      <c r="N12" s="42"/>
      <c r="O12" s="42"/>
      <c r="P12" s="42"/>
      <c r="Q12" s="42"/>
      <c r="R12" s="42"/>
      <c r="S12" s="42"/>
      <c r="T12" s="42"/>
      <c r="U12" s="40"/>
      <c r="V12" s="40"/>
    </row>
    <row r="13" spans="1:22">
      <c r="A13" s="42"/>
      <c r="B13" s="42"/>
      <c r="C13" s="42"/>
      <c r="D13" s="42"/>
      <c r="E13" s="42"/>
      <c r="F13" s="42"/>
      <c r="G13" s="42"/>
      <c r="H13" s="42"/>
      <c r="I13" s="42"/>
      <c r="J13" s="42"/>
      <c r="K13" s="42"/>
      <c r="L13" s="42"/>
      <c r="M13" s="42"/>
      <c r="N13" s="42"/>
      <c r="O13" s="42"/>
      <c r="P13" s="42"/>
      <c r="Q13" s="42"/>
      <c r="R13" s="42"/>
      <c r="S13" s="42"/>
      <c r="T13" s="42"/>
      <c r="U13" s="40"/>
      <c r="V13" s="40"/>
    </row>
    <row r="14" spans="1:22">
      <c r="A14" s="42"/>
      <c r="B14" s="42"/>
      <c r="C14" s="42"/>
      <c r="D14" s="42"/>
      <c r="E14" s="42"/>
      <c r="F14" s="42"/>
      <c r="G14" s="42"/>
      <c r="H14" s="42"/>
      <c r="I14" s="42"/>
      <c r="J14" s="42"/>
      <c r="K14" s="42"/>
      <c r="L14" s="42"/>
      <c r="M14" s="42"/>
      <c r="N14" s="42"/>
      <c r="O14" s="42"/>
      <c r="P14" s="42"/>
      <c r="Q14" s="42"/>
      <c r="R14" s="42"/>
      <c r="S14" s="42"/>
      <c r="T14" s="42"/>
      <c r="U14" s="40"/>
      <c r="V14" s="40"/>
    </row>
    <row r="15" spans="1:22">
      <c r="A15" s="42"/>
      <c r="B15" s="42"/>
      <c r="C15" s="42"/>
      <c r="D15" s="42"/>
      <c r="E15" s="42"/>
      <c r="F15" s="42"/>
      <c r="G15" s="42"/>
      <c r="H15" s="42"/>
      <c r="I15" s="42"/>
      <c r="J15" s="42"/>
      <c r="K15" s="42"/>
      <c r="L15" s="42"/>
      <c r="M15" s="42"/>
      <c r="N15" s="42"/>
      <c r="O15" s="42"/>
      <c r="P15" s="42"/>
      <c r="Q15" s="42"/>
      <c r="R15" s="42"/>
      <c r="S15" s="42"/>
      <c r="T15" s="42"/>
      <c r="U15" s="40"/>
      <c r="V15" s="40"/>
    </row>
    <row r="16" spans="1:22">
      <c r="A16" s="42"/>
      <c r="B16" s="42"/>
      <c r="C16" s="42"/>
      <c r="D16" s="42"/>
      <c r="E16" s="42"/>
      <c r="F16" s="42"/>
      <c r="G16" s="42"/>
      <c r="H16" s="42"/>
      <c r="I16" s="42"/>
      <c r="J16" s="42"/>
      <c r="K16" s="42"/>
      <c r="L16" s="42"/>
      <c r="M16" s="42"/>
      <c r="N16" s="42"/>
      <c r="O16" s="42"/>
      <c r="P16" s="42"/>
      <c r="Q16" s="42"/>
      <c r="R16" s="42"/>
      <c r="S16" s="42"/>
      <c r="T16" s="42"/>
      <c r="U16" s="40"/>
      <c r="V16" s="40"/>
    </row>
    <row r="17" spans="1:22">
      <c r="A17" s="42"/>
      <c r="B17" s="42"/>
      <c r="C17" s="42"/>
      <c r="D17" s="42"/>
      <c r="E17" s="42"/>
      <c r="F17" s="42"/>
      <c r="G17" s="42"/>
      <c r="H17" s="42"/>
      <c r="I17" s="42"/>
      <c r="J17" s="42"/>
      <c r="K17" s="42"/>
      <c r="L17" s="42"/>
      <c r="M17" s="42"/>
      <c r="N17" s="42"/>
      <c r="O17" s="42"/>
      <c r="P17" s="42"/>
      <c r="Q17" s="42"/>
      <c r="R17" s="42"/>
      <c r="S17" s="42"/>
      <c r="T17" s="42"/>
      <c r="U17" s="40"/>
      <c r="V17" s="40"/>
    </row>
    <row r="18" spans="1:22">
      <c r="A18" s="42"/>
      <c r="B18" s="42"/>
      <c r="C18" s="42"/>
      <c r="D18" s="42"/>
      <c r="E18" s="42"/>
      <c r="F18" s="42"/>
      <c r="G18" s="42"/>
      <c r="H18" s="42"/>
      <c r="I18" s="42"/>
      <c r="J18" s="42"/>
      <c r="K18" s="42"/>
      <c r="L18" s="42"/>
      <c r="M18" s="42"/>
      <c r="N18" s="42"/>
      <c r="O18" s="42"/>
      <c r="P18" s="42"/>
      <c r="Q18" s="42"/>
      <c r="R18" s="42"/>
      <c r="S18" s="42"/>
      <c r="T18" s="42"/>
      <c r="U18" s="40"/>
      <c r="V18" s="40"/>
    </row>
    <row r="19" spans="1:22">
      <c r="A19" s="42"/>
      <c r="B19" s="42"/>
      <c r="C19" s="42"/>
      <c r="D19" s="42"/>
      <c r="E19" s="42"/>
      <c r="F19" s="42"/>
      <c r="G19" s="42"/>
      <c r="H19" s="42"/>
      <c r="I19" s="42"/>
      <c r="J19" s="42"/>
      <c r="K19" s="42"/>
      <c r="L19" s="42"/>
      <c r="M19" s="42"/>
      <c r="N19" s="42"/>
      <c r="O19" s="42"/>
      <c r="P19" s="42"/>
      <c r="Q19" s="42"/>
      <c r="R19" s="42"/>
      <c r="S19" s="42"/>
      <c r="T19" s="42"/>
      <c r="U19" s="40"/>
      <c r="V19" s="40"/>
    </row>
    <row r="20" spans="1:22">
      <c r="A20" s="42"/>
      <c r="B20" s="42"/>
      <c r="C20" s="42"/>
      <c r="D20" s="42"/>
      <c r="E20" s="42"/>
      <c r="F20" s="42"/>
      <c r="G20" s="42"/>
      <c r="H20" s="42"/>
      <c r="I20" s="42"/>
      <c r="J20" s="42"/>
      <c r="K20" s="42"/>
      <c r="L20" s="42"/>
      <c r="M20" s="42"/>
      <c r="N20" s="42"/>
      <c r="O20" s="42"/>
      <c r="P20" s="42"/>
      <c r="Q20" s="42"/>
      <c r="R20" s="42"/>
      <c r="S20" s="42"/>
      <c r="T20" s="42"/>
      <c r="U20" s="40"/>
      <c r="V20" s="40"/>
    </row>
    <row r="21" spans="1:22">
      <c r="A21" s="42"/>
      <c r="B21" s="42"/>
      <c r="C21" s="42"/>
      <c r="D21" s="42"/>
      <c r="E21" s="42"/>
      <c r="F21" s="42"/>
      <c r="G21" s="42"/>
      <c r="H21" s="42"/>
      <c r="I21" s="42"/>
      <c r="J21" s="42"/>
      <c r="K21" s="42"/>
      <c r="L21" s="42"/>
      <c r="M21" s="42"/>
      <c r="N21" s="42"/>
      <c r="O21" s="42"/>
      <c r="P21" s="42"/>
      <c r="Q21" s="42"/>
      <c r="R21" s="42"/>
      <c r="S21" s="42"/>
      <c r="T21" s="42"/>
      <c r="U21" s="40"/>
      <c r="V21" s="40"/>
    </row>
    <row r="22" spans="1:22">
      <c r="A22" s="42"/>
      <c r="B22" s="42"/>
      <c r="C22" s="42"/>
      <c r="D22" s="42"/>
      <c r="E22" s="42"/>
      <c r="F22" s="42"/>
      <c r="G22" s="42"/>
      <c r="H22" s="42"/>
      <c r="I22" s="42"/>
      <c r="J22" s="42"/>
      <c r="K22" s="42"/>
      <c r="L22" s="42"/>
      <c r="M22" s="42"/>
      <c r="N22" s="42"/>
      <c r="O22" s="42"/>
      <c r="P22" s="42"/>
      <c r="Q22" s="42"/>
      <c r="R22" s="42"/>
      <c r="S22" s="42"/>
      <c r="T22" s="42"/>
      <c r="U22" s="40"/>
      <c r="V22" s="40"/>
    </row>
    <row r="23" spans="1:22">
      <c r="A23" s="42"/>
      <c r="B23" s="42"/>
      <c r="C23" s="42"/>
      <c r="D23" s="42"/>
      <c r="E23" s="42"/>
      <c r="F23" s="42"/>
      <c r="G23" s="42"/>
      <c r="H23" s="42"/>
      <c r="I23" s="42"/>
      <c r="J23" s="42"/>
      <c r="K23" s="42"/>
      <c r="L23" s="42"/>
      <c r="M23" s="42"/>
      <c r="N23" s="42"/>
      <c r="O23" s="42"/>
      <c r="P23" s="42"/>
      <c r="Q23" s="42"/>
      <c r="R23" s="42"/>
      <c r="S23" s="42"/>
      <c r="T23" s="42"/>
      <c r="U23" s="40"/>
      <c r="V23" s="40"/>
    </row>
    <row r="24" spans="1:22">
      <c r="A24" s="42"/>
      <c r="B24" s="42"/>
      <c r="C24" s="42"/>
      <c r="D24" s="42"/>
      <c r="E24" s="42"/>
      <c r="F24" s="42"/>
      <c r="G24" s="42"/>
      <c r="H24" s="42"/>
      <c r="I24" s="42"/>
      <c r="J24" s="42"/>
      <c r="K24" s="42"/>
      <c r="L24" s="42"/>
      <c r="M24" s="42"/>
      <c r="N24" s="42"/>
      <c r="O24" s="42"/>
      <c r="P24" s="42"/>
      <c r="Q24" s="42"/>
      <c r="R24" s="42"/>
      <c r="S24" s="42"/>
      <c r="T24" s="42"/>
      <c r="U24" s="40"/>
      <c r="V24" s="40"/>
    </row>
    <row r="25" spans="1:22">
      <c r="A25" s="42"/>
      <c r="B25" s="42"/>
      <c r="C25" s="42"/>
      <c r="D25" s="42"/>
      <c r="E25" s="42"/>
      <c r="F25" s="42"/>
      <c r="G25" s="42"/>
      <c r="H25" s="42"/>
      <c r="I25" s="42"/>
      <c r="J25" s="42"/>
      <c r="K25" s="42"/>
      <c r="L25" s="42"/>
      <c r="M25" s="42"/>
      <c r="N25" s="42"/>
      <c r="O25" s="42"/>
      <c r="P25" s="42"/>
      <c r="Q25" s="42"/>
      <c r="R25" s="42"/>
      <c r="S25" s="42"/>
      <c r="T25" s="42"/>
      <c r="U25" s="40"/>
      <c r="V25" s="40"/>
    </row>
    <row r="26" spans="1:22">
      <c r="A26" s="42"/>
      <c r="B26" s="42"/>
      <c r="C26" s="42"/>
      <c r="D26" s="42"/>
      <c r="E26" s="42"/>
      <c r="F26" s="42"/>
      <c r="G26" s="42"/>
      <c r="H26" s="42"/>
      <c r="I26" s="42"/>
      <c r="J26" s="42"/>
      <c r="K26" s="42"/>
      <c r="L26" s="42"/>
      <c r="M26" s="42"/>
      <c r="N26" s="42"/>
      <c r="O26" s="42"/>
      <c r="P26" s="42"/>
      <c r="Q26" s="42"/>
      <c r="R26" s="42"/>
      <c r="S26" s="42"/>
      <c r="T26" s="42"/>
      <c r="U26" s="40"/>
      <c r="V26" s="40"/>
    </row>
    <row r="27" spans="1:22">
      <c r="A27" s="42"/>
      <c r="B27" s="42"/>
      <c r="C27" s="42"/>
      <c r="D27" s="42"/>
      <c r="E27" s="42"/>
      <c r="F27" s="42"/>
      <c r="G27" s="42"/>
      <c r="H27" s="42"/>
      <c r="I27" s="42"/>
      <c r="J27" s="42"/>
      <c r="K27" s="42"/>
      <c r="L27" s="42"/>
      <c r="M27" s="42"/>
      <c r="N27" s="42"/>
      <c r="O27" s="42"/>
      <c r="P27" s="42"/>
      <c r="Q27" s="42"/>
      <c r="R27" s="42"/>
      <c r="S27" s="42"/>
      <c r="T27" s="42"/>
      <c r="U27" s="40"/>
      <c r="V27" s="40"/>
    </row>
    <row r="28" spans="1:22">
      <c r="A28" s="42"/>
      <c r="B28" s="42"/>
      <c r="C28" s="42"/>
      <c r="D28" s="42"/>
      <c r="E28" s="42"/>
      <c r="F28" s="42"/>
      <c r="G28" s="42"/>
      <c r="H28" s="42"/>
      <c r="I28" s="42"/>
      <c r="J28" s="42"/>
      <c r="K28" s="42"/>
      <c r="L28" s="42"/>
      <c r="M28" s="42"/>
      <c r="N28" s="42"/>
      <c r="O28" s="42"/>
      <c r="P28" s="42"/>
      <c r="Q28" s="42"/>
      <c r="R28" s="42"/>
      <c r="S28" s="42"/>
      <c r="T28" s="42"/>
      <c r="U28" s="40"/>
      <c r="V28" s="40"/>
    </row>
    <row r="29" spans="1:22">
      <c r="A29" s="42"/>
      <c r="B29" s="42"/>
      <c r="C29" s="42"/>
      <c r="D29" s="42"/>
      <c r="E29" s="42"/>
      <c r="F29" s="42"/>
      <c r="G29" s="42"/>
      <c r="H29" s="42"/>
      <c r="I29" s="42"/>
      <c r="J29" s="42"/>
      <c r="K29" s="42"/>
      <c r="L29" s="42"/>
      <c r="M29" s="42"/>
      <c r="N29" s="42"/>
      <c r="O29" s="42"/>
      <c r="P29" s="42"/>
      <c r="Q29" s="42"/>
      <c r="R29" s="42"/>
      <c r="S29" s="42"/>
      <c r="T29" s="42"/>
    </row>
    <row r="30" spans="1:22">
      <c r="A30" s="42"/>
      <c r="B30" s="42"/>
      <c r="C30" s="42"/>
      <c r="D30" s="42"/>
      <c r="E30" s="42"/>
      <c r="F30" s="42"/>
      <c r="G30" s="42"/>
      <c r="H30" s="42"/>
      <c r="I30" s="42"/>
      <c r="J30" s="42"/>
      <c r="K30" s="42"/>
      <c r="L30" s="42"/>
      <c r="M30" s="42"/>
      <c r="N30" s="42"/>
      <c r="O30" s="42"/>
      <c r="P30" s="42"/>
      <c r="Q30" s="42"/>
      <c r="R30" s="42"/>
      <c r="S30" s="42"/>
      <c r="T30" s="42"/>
    </row>
    <row r="31" spans="1:22">
      <c r="A31" s="42"/>
      <c r="B31" s="42"/>
      <c r="C31" s="42"/>
      <c r="D31" s="42"/>
      <c r="E31" s="42"/>
      <c r="F31" s="42"/>
      <c r="G31" s="42"/>
      <c r="H31" s="42"/>
      <c r="I31" s="42"/>
      <c r="J31" s="42"/>
      <c r="K31" s="42"/>
      <c r="L31" s="42"/>
      <c r="M31" s="42"/>
      <c r="N31" s="42"/>
      <c r="O31" s="42"/>
      <c r="P31" s="42"/>
      <c r="Q31" s="42"/>
      <c r="R31" s="42"/>
      <c r="S31" s="42"/>
      <c r="T31" s="42"/>
    </row>
    <row r="32" spans="1:22">
      <c r="A32" s="42"/>
      <c r="B32" s="42"/>
      <c r="C32" s="42"/>
      <c r="D32" s="42"/>
      <c r="E32" s="42"/>
      <c r="F32" s="42"/>
      <c r="G32" s="42"/>
      <c r="H32" s="42"/>
      <c r="I32" s="42"/>
      <c r="J32" s="42"/>
      <c r="K32" s="42"/>
      <c r="L32" s="42"/>
      <c r="M32" s="42"/>
      <c r="N32" s="42"/>
      <c r="O32" s="42"/>
      <c r="P32" s="42"/>
      <c r="Q32" s="42"/>
      <c r="R32" s="42"/>
      <c r="S32" s="42"/>
      <c r="T32" s="42"/>
    </row>
    <row r="33" spans="1:20">
      <c r="A33" s="42"/>
      <c r="B33" s="42"/>
      <c r="C33" s="42"/>
      <c r="D33" s="42"/>
      <c r="E33" s="42"/>
      <c r="F33" s="42"/>
      <c r="G33" s="42"/>
      <c r="H33" s="42"/>
      <c r="I33" s="42"/>
      <c r="J33" s="42"/>
      <c r="K33" s="42"/>
      <c r="L33" s="42"/>
      <c r="M33" s="42"/>
      <c r="N33" s="42"/>
      <c r="O33" s="42"/>
      <c r="P33" s="42"/>
      <c r="Q33" s="42"/>
      <c r="R33" s="42"/>
      <c r="S33" s="42"/>
      <c r="T33" s="42"/>
    </row>
  </sheetData>
  <mergeCells count="1">
    <mergeCell ref="A2:T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E195AB-AD2A-4C8D-87BA-74B5AD6EDCAB}">
  <dimension ref="A1:K135"/>
  <sheetViews>
    <sheetView topLeftCell="C1" workbookViewId="0">
      <selection sqref="A1:E1"/>
    </sheetView>
  </sheetViews>
  <sheetFormatPr defaultRowHeight="15"/>
  <cols>
    <col min="1" max="1" width="3" bestFit="1" customWidth="1"/>
    <col min="2" max="2" width="41" customWidth="1"/>
    <col min="3" max="3" width="57.7109375" customWidth="1"/>
    <col min="4" max="4" width="48.7109375" customWidth="1"/>
    <col min="5" max="5" width="50.42578125" customWidth="1"/>
    <col min="6" max="6" width="13.28515625" customWidth="1"/>
    <col min="8" max="8" width="16" bestFit="1" customWidth="1"/>
    <col min="9" max="9" width="7.140625" bestFit="1" customWidth="1"/>
  </cols>
  <sheetData>
    <row r="1" spans="1:6" ht="15.75">
      <c r="A1" s="17" t="s">
        <v>67</v>
      </c>
      <c r="B1" s="17" t="s">
        <v>68</v>
      </c>
      <c r="C1" s="17" t="s">
        <v>69</v>
      </c>
      <c r="D1" s="17" t="s">
        <v>70</v>
      </c>
      <c r="E1" s="17" t="s">
        <v>71</v>
      </c>
      <c r="F1" s="25"/>
    </row>
    <row r="2" spans="1:6" ht="30">
      <c r="A2" s="18">
        <v>1</v>
      </c>
      <c r="B2" s="12" t="s">
        <v>72</v>
      </c>
      <c r="C2" s="11" t="s">
        <v>75</v>
      </c>
      <c r="D2" s="12" t="s">
        <v>73</v>
      </c>
      <c r="E2" s="12" t="s">
        <v>74</v>
      </c>
      <c r="F2" s="12"/>
    </row>
    <row r="3" spans="1:6" ht="135" customHeight="1">
      <c r="A3" s="18">
        <v>2</v>
      </c>
      <c r="B3" s="12" t="s">
        <v>76</v>
      </c>
      <c r="C3" s="12" t="s">
        <v>82</v>
      </c>
      <c r="D3" s="12" t="s">
        <v>83</v>
      </c>
      <c r="E3" s="12" t="s">
        <v>84</v>
      </c>
    </row>
    <row r="4" spans="1:6" ht="60">
      <c r="A4" s="18">
        <v>3</v>
      </c>
      <c r="B4" s="12" t="s">
        <v>85</v>
      </c>
      <c r="C4" s="12" t="s">
        <v>88</v>
      </c>
      <c r="D4" s="12" t="s">
        <v>89</v>
      </c>
      <c r="E4" s="12" t="s">
        <v>90</v>
      </c>
    </row>
    <row r="5" spans="1:6" ht="90">
      <c r="A5" s="18">
        <v>4</v>
      </c>
      <c r="B5" s="12" t="s">
        <v>91</v>
      </c>
      <c r="C5" s="12" t="s">
        <v>94</v>
      </c>
      <c r="D5" s="12" t="s">
        <v>95</v>
      </c>
      <c r="E5" s="12" t="s">
        <v>96</v>
      </c>
    </row>
    <row r="6" spans="1:6" ht="90">
      <c r="A6" s="18">
        <v>5</v>
      </c>
      <c r="B6" s="12" t="s">
        <v>97</v>
      </c>
      <c r="C6" s="12" t="s">
        <v>99</v>
      </c>
      <c r="D6" s="12" t="s">
        <v>100</v>
      </c>
      <c r="E6" s="12" t="s">
        <v>101</v>
      </c>
    </row>
    <row r="7" spans="1:6" ht="75">
      <c r="A7" s="18">
        <v>6</v>
      </c>
      <c r="B7" s="31" t="s">
        <v>102</v>
      </c>
      <c r="C7" s="12" t="s">
        <v>106</v>
      </c>
      <c r="D7" s="12" t="s">
        <v>107</v>
      </c>
      <c r="E7" s="12" t="s">
        <v>108</v>
      </c>
    </row>
    <row r="8" spans="1:6" ht="105">
      <c r="A8" s="18">
        <v>7</v>
      </c>
      <c r="B8" s="12" t="s">
        <v>109</v>
      </c>
      <c r="C8" s="12" t="s">
        <v>112</v>
      </c>
      <c r="D8" s="12" t="s">
        <v>113</v>
      </c>
      <c r="E8" s="12" t="s">
        <v>114</v>
      </c>
    </row>
    <row r="9" spans="1:6" ht="75">
      <c r="A9" s="18">
        <v>8</v>
      </c>
      <c r="B9" s="12" t="s">
        <v>115</v>
      </c>
      <c r="C9" s="12" t="s">
        <v>120</v>
      </c>
      <c r="D9" s="12" t="s">
        <v>121</v>
      </c>
      <c r="E9" s="12" t="s">
        <v>122</v>
      </c>
    </row>
    <row r="10" spans="1:6" ht="60">
      <c r="A10" s="35">
        <v>9</v>
      </c>
      <c r="B10" s="12" t="s">
        <v>123</v>
      </c>
      <c r="C10" s="12" t="s">
        <v>127</v>
      </c>
      <c r="D10" s="12" t="s">
        <v>128</v>
      </c>
      <c r="E10" s="12" t="s">
        <v>129</v>
      </c>
    </row>
    <row r="11" spans="1:6" ht="75">
      <c r="A11" s="12">
        <v>10</v>
      </c>
      <c r="B11" s="12" t="s">
        <v>131</v>
      </c>
      <c r="C11" s="12" t="s">
        <v>133</v>
      </c>
      <c r="D11" s="12" t="s">
        <v>134</v>
      </c>
      <c r="E11" s="12" t="s">
        <v>135</v>
      </c>
    </row>
    <row r="135" spans="11:11">
      <c r="K135" s="2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A03DC-67E3-468D-9FE7-FD331E6069AB}">
  <dimension ref="A1:E96"/>
  <sheetViews>
    <sheetView workbookViewId="0">
      <selection activeCell="B9" sqref="B9"/>
    </sheetView>
  </sheetViews>
  <sheetFormatPr defaultRowHeight="15"/>
  <cols>
    <col min="1" max="1" width="23.140625" bestFit="1" customWidth="1"/>
    <col min="2" max="2" width="17" bestFit="1" customWidth="1"/>
    <col min="3" max="3" width="4.28515625" bestFit="1" customWidth="1"/>
    <col min="4" max="4" width="11.28515625" bestFit="1" customWidth="1"/>
    <col min="5" max="29" width="16.85546875" bestFit="1" customWidth="1"/>
    <col min="30" max="30" width="11.28515625" bestFit="1" customWidth="1"/>
  </cols>
  <sheetData>
    <row r="1" spans="1:5" ht="30">
      <c r="A1" s="19" t="s">
        <v>77</v>
      </c>
      <c r="B1" s="1" t="s">
        <v>62</v>
      </c>
      <c r="C1" s="1" t="s">
        <v>63</v>
      </c>
    </row>
    <row r="2" spans="1:5">
      <c r="B2" s="8" t="s">
        <v>64</v>
      </c>
      <c r="C2" s="9">
        <f>ROWS(tblHRAnalytics[])</f>
        <v>1470</v>
      </c>
    </row>
    <row r="3" spans="1:5">
      <c r="B3" s="8" t="s">
        <v>65</v>
      </c>
      <c r="C3" s="2">
        <f>COUNTIF(tblHRAnalytics[Attrition],"Yes")</f>
        <v>237</v>
      </c>
    </row>
    <row r="4" spans="1:5">
      <c r="B4" s="8" t="s">
        <v>66</v>
      </c>
      <c r="C4" s="10">
        <f>C3/C2</f>
        <v>0.16122448979591836</v>
      </c>
    </row>
    <row r="6" spans="1:5">
      <c r="A6" s="16" t="s">
        <v>81</v>
      </c>
    </row>
    <row r="7" spans="1:5">
      <c r="A7" s="21" t="s">
        <v>79</v>
      </c>
      <c r="B7" s="21" t="s">
        <v>80</v>
      </c>
    </row>
    <row r="8" spans="1:5">
      <c r="A8" s="21" t="s">
        <v>4</v>
      </c>
      <c r="B8" t="s">
        <v>43</v>
      </c>
      <c r="C8" t="s">
        <v>35</v>
      </c>
      <c r="D8" t="s">
        <v>78</v>
      </c>
      <c r="E8" s="3" t="s">
        <v>66</v>
      </c>
    </row>
    <row r="9" spans="1:5">
      <c r="A9" s="22" t="s">
        <v>61</v>
      </c>
      <c r="B9" s="23">
        <v>51</v>
      </c>
      <c r="C9" s="23">
        <v>12</v>
      </c>
      <c r="D9" s="23">
        <v>63</v>
      </c>
      <c r="E9" s="6">
        <f>C9/D9</f>
        <v>0.19047619047619047</v>
      </c>
    </row>
    <row r="10" spans="1:5">
      <c r="A10" s="22" t="s">
        <v>45</v>
      </c>
      <c r="B10" s="23">
        <v>828</v>
      </c>
      <c r="C10" s="23">
        <v>133</v>
      </c>
      <c r="D10" s="23">
        <v>961</v>
      </c>
      <c r="E10" s="6">
        <f t="shared" ref="E10:E12" si="0">C10/D10</f>
        <v>0.13839750260145681</v>
      </c>
    </row>
    <row r="11" spans="1:5">
      <c r="A11" s="22" t="s">
        <v>37</v>
      </c>
      <c r="B11" s="23">
        <v>354</v>
      </c>
      <c r="C11" s="23">
        <v>92</v>
      </c>
      <c r="D11" s="23">
        <v>446</v>
      </c>
      <c r="E11" s="6">
        <f t="shared" si="0"/>
        <v>0.20627802690582961</v>
      </c>
    </row>
    <row r="12" spans="1:5">
      <c r="A12" s="22" t="s">
        <v>78</v>
      </c>
      <c r="B12" s="23">
        <v>1233</v>
      </c>
      <c r="C12" s="23">
        <v>237</v>
      </c>
      <c r="D12" s="23">
        <v>1470</v>
      </c>
      <c r="E12" s="24">
        <f t="shared" si="0"/>
        <v>0.16122448979591836</v>
      </c>
    </row>
    <row r="15" spans="1:5">
      <c r="A15" s="26" t="s">
        <v>86</v>
      </c>
      <c r="B15" s="15"/>
    </row>
    <row r="16" spans="1:5" ht="30">
      <c r="A16" s="28" t="s">
        <v>87</v>
      </c>
      <c r="B16" s="27">
        <f>AVERAGEIF(tblHRAnalytics[Attrition],"Yes",tblHRAnalytics[Age])</f>
        <v>33.607594936708864</v>
      </c>
    </row>
    <row r="19" spans="1:2">
      <c r="A19" s="16" t="s">
        <v>92</v>
      </c>
    </row>
    <row r="20" spans="1:2">
      <c r="A20" s="21" t="s">
        <v>4</v>
      </c>
      <c r="B20" t="s">
        <v>93</v>
      </c>
    </row>
    <row r="21" spans="1:2">
      <c r="A21" s="22" t="s">
        <v>54</v>
      </c>
      <c r="B21" s="30">
        <v>2.7862595419847329</v>
      </c>
    </row>
    <row r="22" spans="1:2">
      <c r="A22" s="22" t="s">
        <v>47</v>
      </c>
      <c r="B22" s="30">
        <v>2.7739726027397262</v>
      </c>
    </row>
    <row r="23" spans="1:2">
      <c r="A23" s="22" t="s">
        <v>40</v>
      </c>
      <c r="B23" s="30">
        <v>2.7546012269938651</v>
      </c>
    </row>
    <row r="24" spans="1:2">
      <c r="A24" s="22" t="s">
        <v>57</v>
      </c>
      <c r="B24" s="30">
        <v>2.7349397590361444</v>
      </c>
    </row>
    <row r="25" spans="1:2">
      <c r="A25" s="22" t="s">
        <v>56</v>
      </c>
      <c r="B25" s="30">
        <v>2.7058823529411766</v>
      </c>
    </row>
    <row r="26" spans="1:2">
      <c r="A26" s="22" t="s">
        <v>58</v>
      </c>
      <c r="B26" s="30">
        <v>2.7</v>
      </c>
    </row>
    <row r="27" spans="1:2">
      <c r="A27" s="22" t="s">
        <v>50</v>
      </c>
      <c r="B27" s="30">
        <v>2.6911196911196913</v>
      </c>
    </row>
    <row r="28" spans="1:2">
      <c r="A28" s="22" t="s">
        <v>53</v>
      </c>
      <c r="B28" s="30">
        <v>2.682758620689655</v>
      </c>
    </row>
    <row r="29" spans="1:2">
      <c r="A29" s="22" t="s">
        <v>61</v>
      </c>
      <c r="B29" s="30">
        <v>2.5576923076923075</v>
      </c>
    </row>
    <row r="30" spans="1:2">
      <c r="A30" s="22" t="s">
        <v>78</v>
      </c>
      <c r="B30" s="30">
        <v>2.7285714285714286</v>
      </c>
    </row>
    <row r="33" spans="1:5">
      <c r="A33" s="26" t="s">
        <v>103</v>
      </c>
    </row>
    <row r="34" spans="1:5">
      <c r="A34" s="21" t="s">
        <v>79</v>
      </c>
      <c r="B34" s="21" t="s">
        <v>98</v>
      </c>
    </row>
    <row r="35" spans="1:5">
      <c r="A35" s="21" t="s">
        <v>11</v>
      </c>
      <c r="B35" t="s">
        <v>43</v>
      </c>
      <c r="C35" t="s">
        <v>35</v>
      </c>
      <c r="D35" t="s">
        <v>78</v>
      </c>
      <c r="E35" s="3" t="s">
        <v>66</v>
      </c>
    </row>
    <row r="36" spans="1:5">
      <c r="A36" s="22" t="s">
        <v>39</v>
      </c>
      <c r="B36" s="23">
        <v>501</v>
      </c>
      <c r="C36" s="23">
        <v>87</v>
      </c>
      <c r="D36" s="23">
        <v>588</v>
      </c>
      <c r="E36" s="6">
        <f>C36/D36</f>
        <v>0.14795918367346939</v>
      </c>
    </row>
    <row r="37" spans="1:5">
      <c r="A37" s="22" t="s">
        <v>46</v>
      </c>
      <c r="B37" s="23">
        <v>732</v>
      </c>
      <c r="C37" s="23">
        <v>150</v>
      </c>
      <c r="D37" s="23">
        <v>882</v>
      </c>
      <c r="E37" s="6">
        <f t="shared" ref="E37:E38" si="1">C37/D37</f>
        <v>0.17006802721088435</v>
      </c>
    </row>
    <row r="38" spans="1:5">
      <c r="A38" s="22" t="s">
        <v>78</v>
      </c>
      <c r="B38" s="23">
        <v>1233</v>
      </c>
      <c r="C38" s="23">
        <v>237</v>
      </c>
      <c r="D38" s="23">
        <v>1470</v>
      </c>
      <c r="E38" s="24">
        <f t="shared" si="1"/>
        <v>0.16122448979591836</v>
      </c>
    </row>
    <row r="41" spans="1:5">
      <c r="A41" s="32" t="s">
        <v>104</v>
      </c>
      <c r="B41" s="2"/>
    </row>
    <row r="42" spans="1:5" ht="45">
      <c r="A42" s="33" t="s">
        <v>105</v>
      </c>
      <c r="B42" s="34">
        <f>AVERAGEIF(tblHRAnalytics[Attrition],"Yes",tblHRAnalytics[MonthlyIncome])</f>
        <v>4787.0928270042195</v>
      </c>
    </row>
    <row r="45" spans="1:5">
      <c r="A45" s="16" t="s">
        <v>118</v>
      </c>
    </row>
    <row r="46" spans="1:5">
      <c r="A46" s="21" t="s">
        <v>79</v>
      </c>
      <c r="B46" s="21" t="s">
        <v>80</v>
      </c>
      <c r="E46" s="13"/>
    </row>
    <row r="47" spans="1:5">
      <c r="A47" s="21" t="s">
        <v>111</v>
      </c>
      <c r="B47" t="s">
        <v>43</v>
      </c>
      <c r="C47" t="s">
        <v>35</v>
      </c>
      <c r="D47" t="s">
        <v>78</v>
      </c>
      <c r="E47" s="3" t="s">
        <v>66</v>
      </c>
    </row>
    <row r="48" spans="1:5">
      <c r="A48" s="22">
        <v>1</v>
      </c>
      <c r="B48" s="23">
        <v>182</v>
      </c>
      <c r="C48" s="23">
        <v>26</v>
      </c>
      <c r="D48" s="23">
        <v>208</v>
      </c>
      <c r="E48" s="6">
        <f>C48/D48</f>
        <v>0.125</v>
      </c>
    </row>
    <row r="49" spans="1:5">
      <c r="A49" s="22">
        <v>2</v>
      </c>
      <c r="B49" s="23">
        <v>183</v>
      </c>
      <c r="C49" s="23">
        <v>28</v>
      </c>
      <c r="D49" s="23">
        <v>211</v>
      </c>
      <c r="E49" s="6">
        <f t="shared" ref="E49:E77" si="2">C49/D49</f>
        <v>0.13270142180094788</v>
      </c>
    </row>
    <row r="50" spans="1:5">
      <c r="A50" s="22">
        <v>3</v>
      </c>
      <c r="B50" s="23">
        <v>70</v>
      </c>
      <c r="C50" s="23">
        <v>14</v>
      </c>
      <c r="D50" s="23">
        <v>84</v>
      </c>
      <c r="E50" s="6">
        <f t="shared" si="2"/>
        <v>0.16666666666666666</v>
      </c>
    </row>
    <row r="51" spans="1:5">
      <c r="A51" s="22">
        <v>4</v>
      </c>
      <c r="B51" s="23">
        <v>55</v>
      </c>
      <c r="C51" s="23">
        <v>9</v>
      </c>
      <c r="D51" s="23">
        <v>64</v>
      </c>
      <c r="E51" s="6">
        <f t="shared" si="2"/>
        <v>0.140625</v>
      </c>
    </row>
    <row r="52" spans="1:5">
      <c r="A52" s="22">
        <v>5</v>
      </c>
      <c r="B52" s="23">
        <v>55</v>
      </c>
      <c r="C52" s="23">
        <v>10</v>
      </c>
      <c r="D52" s="23">
        <v>65</v>
      </c>
      <c r="E52" s="6">
        <f t="shared" si="2"/>
        <v>0.15384615384615385</v>
      </c>
    </row>
    <row r="53" spans="1:5">
      <c r="A53" s="22">
        <v>6</v>
      </c>
      <c r="B53" s="23">
        <v>52</v>
      </c>
      <c r="C53" s="23">
        <v>7</v>
      </c>
      <c r="D53" s="23">
        <v>59</v>
      </c>
      <c r="E53" s="6">
        <f t="shared" si="2"/>
        <v>0.11864406779661017</v>
      </c>
    </row>
    <row r="54" spans="1:5">
      <c r="A54" s="22">
        <v>7</v>
      </c>
      <c r="B54" s="23">
        <v>73</v>
      </c>
      <c r="C54" s="23">
        <v>11</v>
      </c>
      <c r="D54" s="23">
        <v>84</v>
      </c>
      <c r="E54" s="6">
        <f t="shared" si="2"/>
        <v>0.13095238095238096</v>
      </c>
    </row>
    <row r="55" spans="1:5">
      <c r="A55" s="22">
        <v>8</v>
      </c>
      <c r="B55" s="23">
        <v>70</v>
      </c>
      <c r="C55" s="23">
        <v>10</v>
      </c>
      <c r="D55" s="23">
        <v>80</v>
      </c>
      <c r="E55" s="6">
        <f t="shared" si="2"/>
        <v>0.125</v>
      </c>
    </row>
    <row r="56" spans="1:5">
      <c r="A56" s="22">
        <v>9</v>
      </c>
      <c r="B56" s="23">
        <v>67</v>
      </c>
      <c r="C56" s="23">
        <v>18</v>
      </c>
      <c r="D56" s="23">
        <v>85</v>
      </c>
      <c r="E56" s="6">
        <f t="shared" si="2"/>
        <v>0.21176470588235294</v>
      </c>
    </row>
    <row r="57" spans="1:5">
      <c r="A57" s="22">
        <v>10</v>
      </c>
      <c r="B57" s="23">
        <v>75</v>
      </c>
      <c r="C57" s="23">
        <v>11</v>
      </c>
      <c r="D57" s="23">
        <v>86</v>
      </c>
      <c r="E57" s="6">
        <f t="shared" si="2"/>
        <v>0.12790697674418605</v>
      </c>
    </row>
    <row r="58" spans="1:5">
      <c r="A58" s="22">
        <v>11</v>
      </c>
      <c r="B58" s="23">
        <v>25</v>
      </c>
      <c r="C58" s="23">
        <v>4</v>
      </c>
      <c r="D58" s="23">
        <v>29</v>
      </c>
      <c r="E58" s="6">
        <f t="shared" si="2"/>
        <v>0.13793103448275862</v>
      </c>
    </row>
    <row r="59" spans="1:5">
      <c r="A59" s="22">
        <v>12</v>
      </c>
      <c r="B59" s="23">
        <v>14</v>
      </c>
      <c r="C59" s="23">
        <v>6</v>
      </c>
      <c r="D59" s="23">
        <v>20</v>
      </c>
      <c r="E59" s="6">
        <f t="shared" si="2"/>
        <v>0.3</v>
      </c>
    </row>
    <row r="60" spans="1:5">
      <c r="A60" s="22">
        <v>13</v>
      </c>
      <c r="B60" s="23">
        <v>13</v>
      </c>
      <c r="C60" s="23">
        <v>6</v>
      </c>
      <c r="D60" s="23">
        <v>19</v>
      </c>
      <c r="E60" s="6">
        <f t="shared" si="2"/>
        <v>0.31578947368421051</v>
      </c>
    </row>
    <row r="61" spans="1:5">
      <c r="A61" s="22">
        <v>14</v>
      </c>
      <c r="B61" s="23">
        <v>17</v>
      </c>
      <c r="C61" s="23">
        <v>4</v>
      </c>
      <c r="D61" s="23">
        <v>21</v>
      </c>
      <c r="E61" s="6">
        <f t="shared" si="2"/>
        <v>0.19047619047619047</v>
      </c>
    </row>
    <row r="62" spans="1:5">
      <c r="A62" s="22">
        <v>15</v>
      </c>
      <c r="B62" s="23">
        <v>21</v>
      </c>
      <c r="C62" s="23">
        <v>5</v>
      </c>
      <c r="D62" s="23">
        <v>26</v>
      </c>
      <c r="E62" s="6">
        <f t="shared" si="2"/>
        <v>0.19230769230769232</v>
      </c>
    </row>
    <row r="63" spans="1:5">
      <c r="A63" s="22">
        <v>16</v>
      </c>
      <c r="B63" s="23">
        <v>25</v>
      </c>
      <c r="C63" s="23">
        <v>7</v>
      </c>
      <c r="D63" s="23">
        <v>32</v>
      </c>
      <c r="E63" s="6">
        <f t="shared" si="2"/>
        <v>0.21875</v>
      </c>
    </row>
    <row r="64" spans="1:5">
      <c r="A64" s="22">
        <v>17</v>
      </c>
      <c r="B64" s="23">
        <v>15</v>
      </c>
      <c r="C64" s="23">
        <v>5</v>
      </c>
      <c r="D64" s="23">
        <v>20</v>
      </c>
      <c r="E64" s="6">
        <f t="shared" si="2"/>
        <v>0.25</v>
      </c>
    </row>
    <row r="65" spans="1:5">
      <c r="A65" s="22">
        <v>18</v>
      </c>
      <c r="B65" s="23">
        <v>22</v>
      </c>
      <c r="C65" s="23">
        <v>4</v>
      </c>
      <c r="D65" s="23">
        <v>26</v>
      </c>
      <c r="E65" s="6">
        <f t="shared" si="2"/>
        <v>0.15384615384615385</v>
      </c>
    </row>
    <row r="66" spans="1:5">
      <c r="A66" s="22">
        <v>19</v>
      </c>
      <c r="B66" s="23">
        <v>19</v>
      </c>
      <c r="C66" s="23">
        <v>3</v>
      </c>
      <c r="D66" s="23">
        <v>22</v>
      </c>
      <c r="E66" s="6">
        <f t="shared" si="2"/>
        <v>0.13636363636363635</v>
      </c>
    </row>
    <row r="67" spans="1:5">
      <c r="A67" s="22">
        <v>20</v>
      </c>
      <c r="B67" s="23">
        <v>21</v>
      </c>
      <c r="C67" s="23">
        <v>4</v>
      </c>
      <c r="D67" s="23">
        <v>25</v>
      </c>
      <c r="E67" s="6">
        <f t="shared" si="2"/>
        <v>0.16</v>
      </c>
    </row>
    <row r="68" spans="1:5">
      <c r="A68" s="22">
        <v>21</v>
      </c>
      <c r="B68" s="23">
        <v>15</v>
      </c>
      <c r="C68" s="23">
        <v>3</v>
      </c>
      <c r="D68" s="23">
        <v>18</v>
      </c>
      <c r="E68" s="6">
        <f t="shared" si="2"/>
        <v>0.16666666666666666</v>
      </c>
    </row>
    <row r="69" spans="1:5">
      <c r="A69" s="22">
        <v>22</v>
      </c>
      <c r="B69" s="23">
        <v>13</v>
      </c>
      <c r="C69" s="23">
        <v>6</v>
      </c>
      <c r="D69" s="23">
        <v>19</v>
      </c>
      <c r="E69" s="6">
        <f t="shared" si="2"/>
        <v>0.31578947368421051</v>
      </c>
    </row>
    <row r="70" spans="1:5">
      <c r="A70" s="22">
        <v>23</v>
      </c>
      <c r="B70" s="23">
        <v>22</v>
      </c>
      <c r="C70" s="23">
        <v>5</v>
      </c>
      <c r="D70" s="23">
        <v>27</v>
      </c>
      <c r="E70" s="6">
        <f t="shared" si="2"/>
        <v>0.18518518518518517</v>
      </c>
    </row>
    <row r="71" spans="1:5">
      <c r="A71" s="22">
        <v>24</v>
      </c>
      <c r="B71" s="23">
        <v>16</v>
      </c>
      <c r="C71" s="23">
        <v>12</v>
      </c>
      <c r="D71" s="23">
        <v>28</v>
      </c>
      <c r="E71" s="6">
        <f t="shared" si="2"/>
        <v>0.42857142857142855</v>
      </c>
    </row>
    <row r="72" spans="1:5">
      <c r="A72" s="22">
        <v>25</v>
      </c>
      <c r="B72" s="23">
        <v>19</v>
      </c>
      <c r="C72" s="23">
        <v>6</v>
      </c>
      <c r="D72" s="23">
        <v>25</v>
      </c>
      <c r="E72" s="6">
        <f t="shared" si="2"/>
        <v>0.24</v>
      </c>
    </row>
    <row r="73" spans="1:5">
      <c r="A73" s="22">
        <v>26</v>
      </c>
      <c r="B73" s="23">
        <v>22</v>
      </c>
      <c r="C73" s="23">
        <v>3</v>
      </c>
      <c r="D73" s="23">
        <v>25</v>
      </c>
      <c r="E73" s="6">
        <f t="shared" si="2"/>
        <v>0.12</v>
      </c>
    </row>
    <row r="74" spans="1:5">
      <c r="A74" s="22">
        <v>27</v>
      </c>
      <c r="B74" s="23">
        <v>9</v>
      </c>
      <c r="C74" s="23">
        <v>3</v>
      </c>
      <c r="D74" s="23">
        <v>12</v>
      </c>
      <c r="E74" s="6">
        <f t="shared" si="2"/>
        <v>0.25</v>
      </c>
    </row>
    <row r="75" spans="1:5">
      <c r="A75" s="22">
        <v>28</v>
      </c>
      <c r="B75" s="23">
        <v>21</v>
      </c>
      <c r="C75" s="23">
        <v>2</v>
      </c>
      <c r="D75" s="23">
        <v>23</v>
      </c>
      <c r="E75" s="6">
        <f t="shared" si="2"/>
        <v>8.6956521739130432E-2</v>
      </c>
    </row>
    <row r="76" spans="1:5">
      <c r="A76" s="22">
        <v>29</v>
      </c>
      <c r="B76" s="23">
        <v>22</v>
      </c>
      <c r="C76" s="23">
        <v>5</v>
      </c>
      <c r="D76" s="23">
        <v>27</v>
      </c>
      <c r="E76" s="6">
        <f t="shared" si="2"/>
        <v>0.18518518518518517</v>
      </c>
    </row>
    <row r="77" spans="1:5">
      <c r="A77" s="22" t="s">
        <v>78</v>
      </c>
      <c r="B77" s="23">
        <v>1233</v>
      </c>
      <c r="C77" s="23">
        <v>237</v>
      </c>
      <c r="D77" s="23">
        <v>1470</v>
      </c>
      <c r="E77" s="24">
        <f t="shared" si="2"/>
        <v>0.16122448979591836</v>
      </c>
    </row>
    <row r="80" spans="1:5">
      <c r="A80" s="16" t="s">
        <v>119</v>
      </c>
    </row>
    <row r="81" spans="1:2">
      <c r="A81" s="21" t="s">
        <v>116</v>
      </c>
      <c r="B81" t="s">
        <v>117</v>
      </c>
    </row>
    <row r="82" spans="1:2">
      <c r="A82" s="22">
        <v>3</v>
      </c>
      <c r="B82" s="23">
        <v>1244</v>
      </c>
    </row>
    <row r="83" spans="1:2">
      <c r="A83" s="22">
        <v>4</v>
      </c>
      <c r="B83" s="23">
        <v>226</v>
      </c>
    </row>
    <row r="84" spans="1:2">
      <c r="A84" s="22" t="s">
        <v>78</v>
      </c>
      <c r="B84" s="23">
        <v>1470</v>
      </c>
    </row>
    <row r="88" spans="1:2">
      <c r="A88" s="16" t="s">
        <v>125</v>
      </c>
    </row>
    <row r="89" spans="1:2">
      <c r="A89" s="21" t="s">
        <v>124</v>
      </c>
      <c r="B89" t="s">
        <v>126</v>
      </c>
    </row>
    <row r="90" spans="1:2">
      <c r="A90" s="22" t="s">
        <v>43</v>
      </c>
      <c r="B90" s="23">
        <v>1054</v>
      </c>
    </row>
    <row r="91" spans="1:2">
      <c r="A91" s="22" t="s">
        <v>35</v>
      </c>
      <c r="B91" s="23">
        <v>416</v>
      </c>
    </row>
    <row r="92" spans="1:2">
      <c r="A92" s="22" t="s">
        <v>78</v>
      </c>
      <c r="B92" s="23">
        <v>1470</v>
      </c>
    </row>
    <row r="95" spans="1:2">
      <c r="A95" s="26" t="s">
        <v>130</v>
      </c>
      <c r="B95" s="15"/>
    </row>
    <row r="96" spans="1:2">
      <c r="A96" t="s">
        <v>132</v>
      </c>
      <c r="B96" s="30">
        <f>AVERAGE(tblHRAnalytics[YearsAtCompany])</f>
        <v>7.0081632653061225</v>
      </c>
    </row>
  </sheetData>
  <conditionalFormatting sqref="E47:E76">
    <cfRule type="colorScale" priority="1">
      <colorScale>
        <cfvo type="min"/>
        <cfvo type="max"/>
        <color rgb="FFFCFCFF"/>
        <color rgb="FFF8696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BA69A-BE0C-4BE3-A51D-0905F8FA8FB7}">
  <dimension ref="A1:E11"/>
  <sheetViews>
    <sheetView workbookViewId="0">
      <selection activeCell="E11" sqref="E11"/>
    </sheetView>
  </sheetViews>
  <sheetFormatPr defaultRowHeight="15"/>
  <cols>
    <col min="1" max="1" width="3" bestFit="1" customWidth="1"/>
    <col min="2" max="2" width="57" customWidth="1"/>
    <col min="3" max="3" width="60.28515625" customWidth="1"/>
    <col min="4" max="4" width="64.85546875" customWidth="1"/>
    <col min="5" max="5" width="52.5703125" customWidth="1"/>
  </cols>
  <sheetData>
    <row r="1" spans="1:5" ht="15.75">
      <c r="A1" s="17" t="s">
        <v>67</v>
      </c>
      <c r="B1" s="17" t="s">
        <v>68</v>
      </c>
      <c r="C1" s="17" t="s">
        <v>69</v>
      </c>
      <c r="D1" s="17" t="s">
        <v>70</v>
      </c>
      <c r="E1" s="17" t="s">
        <v>71</v>
      </c>
    </row>
    <row r="2" spans="1:5" ht="90">
      <c r="A2" s="18">
        <v>1</v>
      </c>
      <c r="B2" s="12" t="s">
        <v>136</v>
      </c>
      <c r="C2" s="12" t="s">
        <v>141</v>
      </c>
      <c r="D2" s="12" t="s">
        <v>142</v>
      </c>
      <c r="E2" s="12" t="s">
        <v>143</v>
      </c>
    </row>
    <row r="3" spans="1:5" ht="105">
      <c r="A3" s="18">
        <v>2</v>
      </c>
      <c r="B3" s="12" t="s">
        <v>144</v>
      </c>
      <c r="C3" s="12" t="s">
        <v>146</v>
      </c>
      <c r="D3" s="12" t="s">
        <v>147</v>
      </c>
      <c r="E3" s="12" t="s">
        <v>148</v>
      </c>
    </row>
    <row r="4" spans="1:5" ht="75">
      <c r="A4" s="18">
        <v>3</v>
      </c>
      <c r="B4" s="12" t="s">
        <v>149</v>
      </c>
      <c r="C4" s="12" t="s">
        <v>151</v>
      </c>
      <c r="D4" s="12" t="s">
        <v>152</v>
      </c>
      <c r="E4" s="12" t="s">
        <v>153</v>
      </c>
    </row>
    <row r="5" spans="1:5" ht="90">
      <c r="A5" s="18">
        <v>4</v>
      </c>
      <c r="B5" s="12" t="s">
        <v>154</v>
      </c>
      <c r="C5" s="12" t="s">
        <v>156</v>
      </c>
      <c r="D5" s="12" t="s">
        <v>157</v>
      </c>
      <c r="E5" s="12" t="s">
        <v>158</v>
      </c>
    </row>
    <row r="6" spans="1:5" ht="105">
      <c r="A6" s="18">
        <v>5</v>
      </c>
      <c r="B6" s="12" t="s">
        <v>159</v>
      </c>
      <c r="C6" s="12" t="s">
        <v>161</v>
      </c>
      <c r="D6" s="12" t="s">
        <v>162</v>
      </c>
      <c r="E6" s="12" t="s">
        <v>163</v>
      </c>
    </row>
    <row r="7" spans="1:5" ht="90">
      <c r="A7" s="18">
        <v>6</v>
      </c>
      <c r="B7" s="12" t="s">
        <v>164</v>
      </c>
      <c r="C7" s="12" t="s">
        <v>169</v>
      </c>
      <c r="D7" s="12" t="s">
        <v>170</v>
      </c>
      <c r="E7" s="12" t="s">
        <v>171</v>
      </c>
    </row>
    <row r="8" spans="1:5" ht="120">
      <c r="A8" s="18">
        <v>7</v>
      </c>
      <c r="B8" s="39" t="s">
        <v>172</v>
      </c>
      <c r="C8" s="12" t="s">
        <v>174</v>
      </c>
      <c r="D8" s="12" t="s">
        <v>175</v>
      </c>
      <c r="E8" s="12" t="s">
        <v>176</v>
      </c>
    </row>
    <row r="9" spans="1:5" ht="75">
      <c r="A9" s="18">
        <v>8</v>
      </c>
      <c r="B9" s="39" t="s">
        <v>177</v>
      </c>
      <c r="C9" s="12" t="s">
        <v>179</v>
      </c>
      <c r="D9" s="12" t="s">
        <v>180</v>
      </c>
      <c r="E9" s="12" t="s">
        <v>181</v>
      </c>
    </row>
    <row r="10" spans="1:5" ht="75">
      <c r="A10" s="18">
        <v>9</v>
      </c>
      <c r="B10" s="39" t="s">
        <v>182</v>
      </c>
      <c r="C10" s="12" t="s">
        <v>185</v>
      </c>
      <c r="D10" s="12" t="s">
        <v>186</v>
      </c>
      <c r="E10" s="12" t="s">
        <v>187</v>
      </c>
    </row>
    <row r="11" spans="1:5" ht="135">
      <c r="A11" s="18">
        <v>10</v>
      </c>
      <c r="B11" s="12" t="s">
        <v>188</v>
      </c>
      <c r="C11" s="12" t="s">
        <v>191</v>
      </c>
      <c r="D11" s="12" t="s">
        <v>192</v>
      </c>
      <c r="E11" s="12" t="s">
        <v>193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F5C5C-77D7-47AD-ACE0-681FD4D655F0}">
  <dimension ref="A1:E95"/>
  <sheetViews>
    <sheetView topLeftCell="A40" workbookViewId="0">
      <selection activeCell="E34" sqref="E34:E40"/>
    </sheetView>
  </sheetViews>
  <sheetFormatPr defaultRowHeight="15"/>
  <cols>
    <col min="1" max="1" width="18.140625" bestFit="1" customWidth="1"/>
    <col min="2" max="2" width="17" bestFit="1" customWidth="1"/>
    <col min="3" max="3" width="4.28515625" bestFit="1" customWidth="1"/>
    <col min="4" max="4" width="11.28515625" bestFit="1" customWidth="1"/>
    <col min="5" max="5" width="14.140625" customWidth="1"/>
  </cols>
  <sheetData>
    <row r="1" spans="1:5">
      <c r="A1" s="16" t="s">
        <v>77</v>
      </c>
    </row>
    <row r="2" spans="1:5">
      <c r="A2" s="36" t="s">
        <v>137</v>
      </c>
      <c r="B2" s="36" t="s">
        <v>138</v>
      </c>
    </row>
    <row r="3" spans="1:5">
      <c r="A3" s="37" t="s">
        <v>0</v>
      </c>
      <c r="B3" s="2">
        <f>CORREL(tblHRAnalytics[Attrition Value],tblHRAnalytics[Age])</f>
        <v>-0.15920500686577846</v>
      </c>
    </row>
    <row r="4" spans="1:5">
      <c r="A4" s="37" t="s">
        <v>139</v>
      </c>
      <c r="B4" s="9">
        <f>CORREL(tblHRAnalytics[Attrition Value],tblHRAnalytics[MonthlyIncome])</f>
        <v>-0.15983958238498774</v>
      </c>
    </row>
    <row r="5" spans="1:5">
      <c r="A5" s="37" t="s">
        <v>140</v>
      </c>
      <c r="B5" s="2">
        <f>CORREL(tblHRAnalytics[Attrition Value],tblHRAnalytics[YearsAtCompany])</f>
        <v>-0.13439221398997619</v>
      </c>
    </row>
    <row r="8" spans="1:5">
      <c r="A8" s="38" t="s">
        <v>81</v>
      </c>
    </row>
    <row r="9" spans="1:5">
      <c r="A9" s="21" t="s">
        <v>79</v>
      </c>
      <c r="B9" s="21" t="s">
        <v>80</v>
      </c>
      <c r="E9" s="13"/>
    </row>
    <row r="10" spans="1:5">
      <c r="A10" s="21" t="s">
        <v>145</v>
      </c>
      <c r="B10" t="s">
        <v>43</v>
      </c>
      <c r="C10" t="s">
        <v>35</v>
      </c>
      <c r="D10" t="s">
        <v>78</v>
      </c>
      <c r="E10" s="3" t="s">
        <v>66</v>
      </c>
    </row>
    <row r="11" spans="1:5">
      <c r="A11" s="22">
        <v>1</v>
      </c>
      <c r="B11" s="23">
        <v>55</v>
      </c>
      <c r="C11" s="23">
        <v>28</v>
      </c>
      <c r="D11" s="23">
        <v>83</v>
      </c>
      <c r="E11" s="6">
        <f>C11/D11</f>
        <v>0.33734939759036142</v>
      </c>
    </row>
    <row r="12" spans="1:5">
      <c r="A12" s="22">
        <v>2</v>
      </c>
      <c r="B12" s="23">
        <v>304</v>
      </c>
      <c r="C12" s="23">
        <v>71</v>
      </c>
      <c r="D12" s="23">
        <v>375</v>
      </c>
      <c r="E12" s="6">
        <f t="shared" ref="E12:E15" si="0">C12/D12</f>
        <v>0.18933333333333333</v>
      </c>
    </row>
    <row r="13" spans="1:5">
      <c r="A13" s="22">
        <v>3</v>
      </c>
      <c r="B13" s="23">
        <v>743</v>
      </c>
      <c r="C13" s="23">
        <v>125</v>
      </c>
      <c r="D13" s="23">
        <v>868</v>
      </c>
      <c r="E13" s="6">
        <f t="shared" si="0"/>
        <v>0.14400921658986174</v>
      </c>
    </row>
    <row r="14" spans="1:5">
      <c r="A14" s="22">
        <v>4</v>
      </c>
      <c r="B14" s="23">
        <v>131</v>
      </c>
      <c r="C14" s="23">
        <v>13</v>
      </c>
      <c r="D14" s="23">
        <v>144</v>
      </c>
      <c r="E14" s="6">
        <f t="shared" si="0"/>
        <v>9.0277777777777776E-2</v>
      </c>
    </row>
    <row r="15" spans="1:5">
      <c r="A15" s="22" t="s">
        <v>78</v>
      </c>
      <c r="B15" s="23">
        <v>1233</v>
      </c>
      <c r="C15" s="23">
        <v>237</v>
      </c>
      <c r="D15" s="23">
        <v>1470</v>
      </c>
      <c r="E15" s="24">
        <f t="shared" si="0"/>
        <v>0.16122448979591836</v>
      </c>
    </row>
    <row r="18" spans="1:5">
      <c r="A18" s="16" t="s">
        <v>86</v>
      </c>
      <c r="B18" s="15"/>
    </row>
    <row r="19" spans="1:5" ht="75">
      <c r="A19" s="12" t="s">
        <v>150</v>
      </c>
      <c r="B19" s="4">
        <f>CORREL(tblHRAnalytics[Age],tblHRAnalytics[JobSatisfaction])</f>
        <v>-4.8918771486873569E-3</v>
      </c>
    </row>
    <row r="22" spans="1:5">
      <c r="A22" s="16" t="s">
        <v>92</v>
      </c>
    </row>
    <row r="23" spans="1:5">
      <c r="A23" s="21" t="s">
        <v>79</v>
      </c>
      <c r="B23" s="21" t="s">
        <v>80</v>
      </c>
      <c r="E23" s="13"/>
    </row>
    <row r="24" spans="1:5">
      <c r="A24" s="21" t="s">
        <v>155</v>
      </c>
      <c r="B24" t="s">
        <v>43</v>
      </c>
      <c r="C24" t="s">
        <v>35</v>
      </c>
      <c r="D24" t="s">
        <v>78</v>
      </c>
      <c r="E24" s="3" t="s">
        <v>66</v>
      </c>
    </row>
    <row r="25" spans="1:5">
      <c r="A25" s="22" t="s">
        <v>52</v>
      </c>
      <c r="B25" s="23">
        <v>294</v>
      </c>
      <c r="C25" s="23">
        <v>33</v>
      </c>
      <c r="D25" s="23">
        <v>327</v>
      </c>
      <c r="E25" s="6">
        <f>C25/D25</f>
        <v>0.10091743119266056</v>
      </c>
    </row>
    <row r="26" spans="1:5">
      <c r="A26" s="22" t="s">
        <v>48</v>
      </c>
      <c r="B26" s="23">
        <v>589</v>
      </c>
      <c r="C26" s="23">
        <v>84</v>
      </c>
      <c r="D26" s="23">
        <v>673</v>
      </c>
      <c r="E26" s="6">
        <f t="shared" ref="E26:E28" si="1">C26/D26</f>
        <v>0.12481426448736999</v>
      </c>
    </row>
    <row r="27" spans="1:5">
      <c r="A27" s="22" t="s">
        <v>41</v>
      </c>
      <c r="B27" s="23">
        <v>350</v>
      </c>
      <c r="C27" s="23">
        <v>120</v>
      </c>
      <c r="D27" s="23">
        <v>470</v>
      </c>
      <c r="E27" s="6">
        <f t="shared" si="1"/>
        <v>0.25531914893617019</v>
      </c>
    </row>
    <row r="28" spans="1:5">
      <c r="A28" s="22" t="s">
        <v>78</v>
      </c>
      <c r="B28" s="23">
        <v>1233</v>
      </c>
      <c r="C28" s="23">
        <v>237</v>
      </c>
      <c r="D28" s="23">
        <v>1470</v>
      </c>
      <c r="E28" s="24">
        <f t="shared" si="1"/>
        <v>0.16122448979591836</v>
      </c>
    </row>
    <row r="31" spans="1:5">
      <c r="A31" s="26" t="s">
        <v>103</v>
      </c>
    </row>
    <row r="32" spans="1:5">
      <c r="A32" s="21" t="s">
        <v>79</v>
      </c>
      <c r="B32" s="21" t="s">
        <v>80</v>
      </c>
      <c r="E32" s="13"/>
    </row>
    <row r="33" spans="1:5">
      <c r="A33" s="21" t="s">
        <v>160</v>
      </c>
      <c r="B33" t="s">
        <v>43</v>
      </c>
      <c r="C33" t="s">
        <v>35</v>
      </c>
      <c r="D33" t="s">
        <v>78</v>
      </c>
      <c r="E33" s="3" t="s">
        <v>80</v>
      </c>
    </row>
    <row r="34" spans="1:5">
      <c r="A34" s="22">
        <v>0</v>
      </c>
      <c r="B34" s="23">
        <v>39</v>
      </c>
      <c r="C34" s="23">
        <v>15</v>
      </c>
      <c r="D34" s="23">
        <v>54</v>
      </c>
      <c r="E34" s="6">
        <f>C34/D34</f>
        <v>0.27777777777777779</v>
      </c>
    </row>
    <row r="35" spans="1:5">
      <c r="A35" s="22">
        <v>1</v>
      </c>
      <c r="B35" s="23">
        <v>62</v>
      </c>
      <c r="C35" s="23">
        <v>9</v>
      </c>
      <c r="D35" s="23">
        <v>71</v>
      </c>
      <c r="E35" s="6">
        <f t="shared" ref="E35:E41" si="2">C35/D35</f>
        <v>0.12676056338028169</v>
      </c>
    </row>
    <row r="36" spans="1:5">
      <c r="A36" s="22">
        <v>2</v>
      </c>
      <c r="B36" s="23">
        <v>449</v>
      </c>
      <c r="C36" s="23">
        <v>98</v>
      </c>
      <c r="D36" s="23">
        <v>547</v>
      </c>
      <c r="E36" s="6">
        <f t="shared" si="2"/>
        <v>0.17915904936014626</v>
      </c>
    </row>
    <row r="37" spans="1:5">
      <c r="A37" s="22">
        <v>3</v>
      </c>
      <c r="B37" s="23">
        <v>422</v>
      </c>
      <c r="C37" s="23">
        <v>69</v>
      </c>
      <c r="D37" s="23">
        <v>491</v>
      </c>
      <c r="E37" s="6">
        <f t="shared" si="2"/>
        <v>0.14052953156822812</v>
      </c>
    </row>
    <row r="38" spans="1:5">
      <c r="A38" s="22">
        <v>4</v>
      </c>
      <c r="B38" s="23">
        <v>97</v>
      </c>
      <c r="C38" s="23">
        <v>26</v>
      </c>
      <c r="D38" s="23">
        <v>123</v>
      </c>
      <c r="E38" s="6">
        <f t="shared" si="2"/>
        <v>0.21138211382113822</v>
      </c>
    </row>
    <row r="39" spans="1:5">
      <c r="A39" s="22">
        <v>5</v>
      </c>
      <c r="B39" s="23">
        <v>105</v>
      </c>
      <c r="C39" s="23">
        <v>14</v>
      </c>
      <c r="D39" s="23">
        <v>119</v>
      </c>
      <c r="E39" s="6">
        <f t="shared" si="2"/>
        <v>0.11764705882352941</v>
      </c>
    </row>
    <row r="40" spans="1:5">
      <c r="A40" s="22">
        <v>6</v>
      </c>
      <c r="B40" s="23">
        <v>59</v>
      </c>
      <c r="C40" s="23">
        <v>6</v>
      </c>
      <c r="D40" s="23">
        <v>65</v>
      </c>
      <c r="E40" s="6">
        <f t="shared" si="2"/>
        <v>9.2307692307692313E-2</v>
      </c>
    </row>
    <row r="41" spans="1:5">
      <c r="A41" s="22" t="s">
        <v>78</v>
      </c>
      <c r="B41" s="23">
        <v>1233</v>
      </c>
      <c r="C41" s="23">
        <v>237</v>
      </c>
      <c r="D41" s="23">
        <v>1470</v>
      </c>
      <c r="E41" s="24">
        <f t="shared" si="2"/>
        <v>0.16122448979591836</v>
      </c>
    </row>
    <row r="44" spans="1:5">
      <c r="A44" s="16" t="s">
        <v>104</v>
      </c>
    </row>
    <row r="45" spans="1:5">
      <c r="A45" s="21" t="s">
        <v>167</v>
      </c>
      <c r="B45" s="21" t="s">
        <v>165</v>
      </c>
      <c r="E45" s="13"/>
    </row>
    <row r="46" spans="1:5">
      <c r="A46" s="21" t="s">
        <v>166</v>
      </c>
      <c r="B46">
        <v>3</v>
      </c>
      <c r="C46">
        <v>4</v>
      </c>
      <c r="D46" t="s">
        <v>78</v>
      </c>
      <c r="E46" s="3" t="s">
        <v>168</v>
      </c>
    </row>
    <row r="47" spans="1:5">
      <c r="A47" s="22">
        <v>1</v>
      </c>
      <c r="B47" s="23">
        <v>66</v>
      </c>
      <c r="C47" s="23">
        <v>14</v>
      </c>
      <c r="D47" s="23">
        <v>80</v>
      </c>
      <c r="E47" s="6">
        <f>C47/D47</f>
        <v>0.17499999999999999</v>
      </c>
    </row>
    <row r="48" spans="1:5">
      <c r="A48" s="22">
        <v>2</v>
      </c>
      <c r="B48" s="23">
        <v>296</v>
      </c>
      <c r="C48" s="23">
        <v>48</v>
      </c>
      <c r="D48" s="23">
        <v>344</v>
      </c>
      <c r="E48" s="6">
        <f t="shared" ref="E48:E51" si="3">C48/D48</f>
        <v>0.13953488372093023</v>
      </c>
    </row>
    <row r="49" spans="1:5">
      <c r="A49" s="22">
        <v>3</v>
      </c>
      <c r="B49" s="23">
        <v>752</v>
      </c>
      <c r="C49" s="23">
        <v>141</v>
      </c>
      <c r="D49" s="23">
        <v>893</v>
      </c>
      <c r="E49" s="6">
        <f t="shared" si="3"/>
        <v>0.15789473684210525</v>
      </c>
    </row>
    <row r="50" spans="1:5">
      <c r="A50" s="22">
        <v>4</v>
      </c>
      <c r="B50" s="23">
        <v>130</v>
      </c>
      <c r="C50" s="23">
        <v>23</v>
      </c>
      <c r="D50" s="23">
        <v>153</v>
      </c>
      <c r="E50" s="6">
        <f t="shared" si="3"/>
        <v>0.15032679738562091</v>
      </c>
    </row>
    <row r="51" spans="1:5">
      <c r="A51" s="22" t="s">
        <v>78</v>
      </c>
      <c r="B51" s="23">
        <v>1244</v>
      </c>
      <c r="C51" s="23">
        <v>226</v>
      </c>
      <c r="D51" s="23">
        <v>1470</v>
      </c>
      <c r="E51" s="24">
        <f t="shared" si="3"/>
        <v>0.15374149659863945</v>
      </c>
    </row>
    <row r="54" spans="1:5">
      <c r="A54" s="16" t="s">
        <v>118</v>
      </c>
    </row>
    <row r="55" spans="1:5">
      <c r="A55" s="21" t="s">
        <v>79</v>
      </c>
      <c r="B55" s="21" t="s">
        <v>80</v>
      </c>
      <c r="E55" s="13"/>
    </row>
    <row r="56" spans="1:5">
      <c r="A56" s="21" t="s">
        <v>173</v>
      </c>
      <c r="B56" t="s">
        <v>43</v>
      </c>
      <c r="C56" t="s">
        <v>35</v>
      </c>
      <c r="D56" t="s">
        <v>78</v>
      </c>
      <c r="E56" s="3" t="s">
        <v>66</v>
      </c>
    </row>
    <row r="57" spans="1:5">
      <c r="A57" s="22">
        <v>0</v>
      </c>
      <c r="B57" s="23">
        <v>477</v>
      </c>
      <c r="C57" s="23">
        <v>154</v>
      </c>
      <c r="D57" s="23">
        <v>631</v>
      </c>
      <c r="E57" s="6">
        <f>C57/D57</f>
        <v>0.24405705229793978</v>
      </c>
    </row>
    <row r="58" spans="1:5">
      <c r="A58" s="22">
        <v>1</v>
      </c>
      <c r="B58" s="23">
        <v>540</v>
      </c>
      <c r="C58" s="23">
        <v>56</v>
      </c>
      <c r="D58" s="23">
        <v>596</v>
      </c>
      <c r="E58" s="6">
        <f t="shared" ref="E58:E61" si="4">C58/D58</f>
        <v>9.3959731543624164E-2</v>
      </c>
    </row>
    <row r="59" spans="1:5">
      <c r="A59" s="22">
        <v>2</v>
      </c>
      <c r="B59" s="23">
        <v>146</v>
      </c>
      <c r="C59" s="23">
        <v>12</v>
      </c>
      <c r="D59" s="23">
        <v>158</v>
      </c>
      <c r="E59" s="6">
        <f t="shared" si="4"/>
        <v>7.5949367088607597E-2</v>
      </c>
    </row>
    <row r="60" spans="1:5">
      <c r="A60" s="22">
        <v>3</v>
      </c>
      <c r="B60" s="23">
        <v>70</v>
      </c>
      <c r="C60" s="23">
        <v>15</v>
      </c>
      <c r="D60" s="23">
        <v>85</v>
      </c>
      <c r="E60" s="6">
        <f t="shared" si="4"/>
        <v>0.17647058823529413</v>
      </c>
    </row>
    <row r="61" spans="1:5">
      <c r="A61" s="22" t="s">
        <v>78</v>
      </c>
      <c r="B61" s="23">
        <v>1233</v>
      </c>
      <c r="C61" s="23">
        <v>237</v>
      </c>
      <c r="D61" s="23">
        <v>1470</v>
      </c>
      <c r="E61" s="24">
        <f t="shared" si="4"/>
        <v>0.16122448979591836</v>
      </c>
    </row>
    <row r="64" spans="1:5">
      <c r="A64" s="16" t="s">
        <v>119</v>
      </c>
      <c r="B64" s="15"/>
    </row>
    <row r="65" spans="1:5" ht="30">
      <c r="A65" s="28" t="s">
        <v>178</v>
      </c>
      <c r="B65" s="29">
        <f>CORREL(tblHRAnalytics[YearsAtCompany],tblHRAnalytics[JobSatisfaction])</f>
        <v>-3.8026279482880621E-3</v>
      </c>
    </row>
    <row r="68" spans="1:5">
      <c r="A68" s="16" t="s">
        <v>125</v>
      </c>
    </row>
    <row r="69" spans="1:5">
      <c r="A69" s="21" t="s">
        <v>183</v>
      </c>
      <c r="B69" t="s">
        <v>184</v>
      </c>
    </row>
    <row r="70" spans="1:5">
      <c r="A70" s="22" t="s">
        <v>55</v>
      </c>
      <c r="B70" s="30">
        <v>2.7933333333333334</v>
      </c>
    </row>
    <row r="71" spans="1:5">
      <c r="A71" s="22" t="s">
        <v>44</v>
      </c>
      <c r="B71" s="30">
        <v>2.7906137184115525</v>
      </c>
    </row>
    <row r="72" spans="1:5">
      <c r="A72" s="22" t="s">
        <v>36</v>
      </c>
      <c r="B72" s="30">
        <v>2.7027804410354745</v>
      </c>
    </row>
    <row r="73" spans="1:5">
      <c r="A73" s="22" t="s">
        <v>78</v>
      </c>
      <c r="B73" s="30">
        <v>2.7285714285714286</v>
      </c>
    </row>
    <row r="76" spans="1:5">
      <c r="A76" s="26" t="s">
        <v>130</v>
      </c>
    </row>
    <row r="77" spans="1:5">
      <c r="A77" s="21" t="s">
        <v>189</v>
      </c>
      <c r="B77" s="21" t="s">
        <v>116</v>
      </c>
      <c r="E77" s="13"/>
    </row>
    <row r="78" spans="1:5">
      <c r="A78" s="21" t="s">
        <v>190</v>
      </c>
      <c r="B78">
        <v>3</v>
      </c>
      <c r="C78">
        <v>4</v>
      </c>
      <c r="D78" t="s">
        <v>78</v>
      </c>
      <c r="E78" s="3" t="s">
        <v>168</v>
      </c>
    </row>
    <row r="79" spans="1:5">
      <c r="A79" s="22">
        <v>0</v>
      </c>
      <c r="B79" s="23">
        <v>485</v>
      </c>
      <c r="C79" s="23">
        <v>96</v>
      </c>
      <c r="D79" s="23">
        <v>581</v>
      </c>
      <c r="E79" s="6">
        <f>C79/D79</f>
        <v>0.16523235800344235</v>
      </c>
    </row>
    <row r="80" spans="1:5">
      <c r="A80" s="22">
        <v>1</v>
      </c>
      <c r="B80" s="23">
        <v>309</v>
      </c>
      <c r="C80" s="23">
        <v>48</v>
      </c>
      <c r="D80" s="23">
        <v>357</v>
      </c>
      <c r="E80" s="6">
        <f t="shared" ref="E80:E95" si="5">C80/D80</f>
        <v>0.13445378151260504</v>
      </c>
    </row>
    <row r="81" spans="1:5">
      <c r="A81" s="22">
        <v>2</v>
      </c>
      <c r="B81" s="23">
        <v>139</v>
      </c>
      <c r="C81" s="23">
        <v>20</v>
      </c>
      <c r="D81" s="23">
        <v>159</v>
      </c>
      <c r="E81" s="6">
        <f t="shared" si="5"/>
        <v>0.12578616352201258</v>
      </c>
    </row>
    <row r="82" spans="1:5">
      <c r="A82" s="22">
        <v>3</v>
      </c>
      <c r="B82" s="23">
        <v>44</v>
      </c>
      <c r="C82" s="23">
        <v>8</v>
      </c>
      <c r="D82" s="23">
        <v>52</v>
      </c>
      <c r="E82" s="6">
        <f t="shared" si="5"/>
        <v>0.15384615384615385</v>
      </c>
    </row>
    <row r="83" spans="1:5">
      <c r="A83" s="22">
        <v>4</v>
      </c>
      <c r="B83" s="23">
        <v>53</v>
      </c>
      <c r="C83" s="23">
        <v>8</v>
      </c>
      <c r="D83" s="23">
        <v>61</v>
      </c>
      <c r="E83" s="6">
        <f t="shared" si="5"/>
        <v>0.13114754098360656</v>
      </c>
    </row>
    <row r="84" spans="1:5">
      <c r="A84" s="22">
        <v>5</v>
      </c>
      <c r="B84" s="23">
        <v>34</v>
      </c>
      <c r="C84" s="23">
        <v>11</v>
      </c>
      <c r="D84" s="23">
        <v>45</v>
      </c>
      <c r="E84" s="6">
        <f t="shared" si="5"/>
        <v>0.24444444444444444</v>
      </c>
    </row>
    <row r="85" spans="1:5">
      <c r="A85" s="22">
        <v>6</v>
      </c>
      <c r="B85" s="23">
        <v>28</v>
      </c>
      <c r="C85" s="23">
        <v>4</v>
      </c>
      <c r="D85" s="23">
        <v>32</v>
      </c>
      <c r="E85" s="6">
        <f t="shared" si="5"/>
        <v>0.125</v>
      </c>
    </row>
    <row r="86" spans="1:5">
      <c r="A86" s="22">
        <v>7</v>
      </c>
      <c r="B86" s="23">
        <v>65</v>
      </c>
      <c r="C86" s="23">
        <v>11</v>
      </c>
      <c r="D86" s="23">
        <v>76</v>
      </c>
      <c r="E86" s="6">
        <f t="shared" si="5"/>
        <v>0.14473684210526316</v>
      </c>
    </row>
    <row r="87" spans="1:5">
      <c r="A87" s="22">
        <v>8</v>
      </c>
      <c r="B87" s="23">
        <v>14</v>
      </c>
      <c r="C87" s="23">
        <v>4</v>
      </c>
      <c r="D87" s="23">
        <v>18</v>
      </c>
      <c r="E87" s="6">
        <f t="shared" si="5"/>
        <v>0.22222222222222221</v>
      </c>
    </row>
    <row r="88" spans="1:5">
      <c r="A88" s="22">
        <v>9</v>
      </c>
      <c r="B88" s="23">
        <v>17</v>
      </c>
      <c r="C88" s="23"/>
      <c r="D88" s="23">
        <v>17</v>
      </c>
      <c r="E88" s="6">
        <f t="shared" si="5"/>
        <v>0</v>
      </c>
    </row>
    <row r="89" spans="1:5">
      <c r="A89" s="22">
        <v>10</v>
      </c>
      <c r="B89" s="23">
        <v>5</v>
      </c>
      <c r="C89" s="23">
        <v>1</v>
      </c>
      <c r="D89" s="23">
        <v>6</v>
      </c>
      <c r="E89" s="6">
        <f t="shared" si="5"/>
        <v>0.16666666666666666</v>
      </c>
    </row>
    <row r="90" spans="1:5">
      <c r="A90" s="22">
        <v>11</v>
      </c>
      <c r="B90" s="23">
        <v>16</v>
      </c>
      <c r="C90" s="23">
        <v>8</v>
      </c>
      <c r="D90" s="23">
        <v>24</v>
      </c>
      <c r="E90" s="6">
        <f t="shared" si="5"/>
        <v>0.33333333333333331</v>
      </c>
    </row>
    <row r="91" spans="1:5">
      <c r="A91" s="22">
        <v>12</v>
      </c>
      <c r="B91" s="23">
        <v>8</v>
      </c>
      <c r="C91" s="23">
        <v>2</v>
      </c>
      <c r="D91" s="23">
        <v>10</v>
      </c>
      <c r="E91" s="6">
        <f t="shared" si="5"/>
        <v>0.2</v>
      </c>
    </row>
    <row r="92" spans="1:5">
      <c r="A92" s="22">
        <v>13</v>
      </c>
      <c r="B92" s="23">
        <v>9</v>
      </c>
      <c r="C92" s="23">
        <v>1</v>
      </c>
      <c r="D92" s="23">
        <v>10</v>
      </c>
      <c r="E92" s="6">
        <f t="shared" si="5"/>
        <v>0.1</v>
      </c>
    </row>
    <row r="93" spans="1:5">
      <c r="A93" s="22">
        <v>14</v>
      </c>
      <c r="B93" s="23">
        <v>7</v>
      </c>
      <c r="C93" s="23">
        <v>2</v>
      </c>
      <c r="D93" s="23">
        <v>9</v>
      </c>
      <c r="E93" s="6">
        <f t="shared" si="5"/>
        <v>0.22222222222222221</v>
      </c>
    </row>
    <row r="94" spans="1:5">
      <c r="A94" s="22">
        <v>15</v>
      </c>
      <c r="B94" s="23">
        <v>11</v>
      </c>
      <c r="C94" s="23">
        <v>2</v>
      </c>
      <c r="D94" s="23">
        <v>13</v>
      </c>
      <c r="E94" s="6">
        <f t="shared" si="5"/>
        <v>0.15384615384615385</v>
      </c>
    </row>
    <row r="95" spans="1:5">
      <c r="A95" s="22" t="s">
        <v>78</v>
      </c>
      <c r="B95" s="23">
        <v>1244</v>
      </c>
      <c r="C95" s="23">
        <v>226</v>
      </c>
      <c r="D95" s="23">
        <v>1470</v>
      </c>
      <c r="E95" s="24">
        <f t="shared" si="5"/>
        <v>0.15374149659863945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2895D-4709-47B3-97F3-B850190C0F8B}">
  <dimension ref="A1:C28"/>
  <sheetViews>
    <sheetView topLeftCell="A14" workbookViewId="0">
      <selection activeCell="A24" sqref="A24"/>
    </sheetView>
  </sheetViews>
  <sheetFormatPr defaultRowHeight="15"/>
  <cols>
    <col min="1" max="1" width="23.140625" bestFit="1" customWidth="1"/>
    <col min="2" max="2" width="17" bestFit="1" customWidth="1"/>
    <col min="3" max="4" width="11.28515625" bestFit="1" customWidth="1"/>
  </cols>
  <sheetData>
    <row r="1" spans="1:3">
      <c r="A1" t="s">
        <v>194</v>
      </c>
    </row>
    <row r="2" spans="1:3">
      <c r="A2" s="21" t="s">
        <v>79</v>
      </c>
      <c r="B2" s="21" t="s">
        <v>80</v>
      </c>
    </row>
    <row r="3" spans="1:3">
      <c r="A3" s="21" t="s">
        <v>4</v>
      </c>
      <c r="B3" t="s">
        <v>35</v>
      </c>
      <c r="C3" t="s">
        <v>78</v>
      </c>
    </row>
    <row r="4" spans="1:3">
      <c r="A4" s="22" t="s">
        <v>61</v>
      </c>
      <c r="B4" s="23">
        <v>12</v>
      </c>
      <c r="C4" s="23">
        <v>12</v>
      </c>
    </row>
    <row r="5" spans="1:3">
      <c r="A5" s="22" t="s">
        <v>45</v>
      </c>
      <c r="B5" s="23">
        <v>133</v>
      </c>
      <c r="C5" s="23">
        <v>133</v>
      </c>
    </row>
    <row r="6" spans="1:3">
      <c r="A6" s="22" t="s">
        <v>37</v>
      </c>
      <c r="B6" s="23">
        <v>92</v>
      </c>
      <c r="C6" s="23">
        <v>92</v>
      </c>
    </row>
    <row r="7" spans="1:3">
      <c r="A7" s="22" t="s">
        <v>78</v>
      </c>
      <c r="B7" s="23">
        <v>237</v>
      </c>
      <c r="C7" s="23">
        <v>237</v>
      </c>
    </row>
    <row r="12" spans="1:3">
      <c r="A12" t="s">
        <v>195</v>
      </c>
    </row>
    <row r="13" spans="1:3">
      <c r="A13" s="21" t="s">
        <v>79</v>
      </c>
      <c r="B13" s="21" t="s">
        <v>80</v>
      </c>
    </row>
    <row r="14" spans="1:3">
      <c r="A14" s="21" t="s">
        <v>155</v>
      </c>
      <c r="B14" t="s">
        <v>35</v>
      </c>
      <c r="C14" t="s">
        <v>78</v>
      </c>
    </row>
    <row r="15" spans="1:3">
      <c r="A15" s="22" t="s">
        <v>52</v>
      </c>
      <c r="B15" s="23">
        <v>33</v>
      </c>
      <c r="C15" s="23">
        <v>33</v>
      </c>
    </row>
    <row r="16" spans="1:3">
      <c r="A16" s="22" t="s">
        <v>48</v>
      </c>
      <c r="B16" s="23">
        <v>84</v>
      </c>
      <c r="C16" s="23">
        <v>84</v>
      </c>
    </row>
    <row r="17" spans="1:3">
      <c r="A17" s="22" t="s">
        <v>41</v>
      </c>
      <c r="B17" s="23">
        <v>120</v>
      </c>
      <c r="C17" s="23">
        <v>120</v>
      </c>
    </row>
    <row r="18" spans="1:3">
      <c r="A18" s="22" t="s">
        <v>78</v>
      </c>
      <c r="B18" s="23">
        <v>237</v>
      </c>
      <c r="C18" s="23">
        <v>237</v>
      </c>
    </row>
    <row r="21" spans="1:3">
      <c r="A21" s="22" t="s">
        <v>196</v>
      </c>
    </row>
    <row r="22" spans="1:3">
      <c r="A22" s="21" t="s">
        <v>79</v>
      </c>
      <c r="B22" s="21" t="s">
        <v>80</v>
      </c>
    </row>
    <row r="23" spans="1:3">
      <c r="A23" s="21" t="s">
        <v>145</v>
      </c>
      <c r="B23" t="s">
        <v>35</v>
      </c>
      <c r="C23" t="s">
        <v>78</v>
      </c>
    </row>
    <row r="24" spans="1:3">
      <c r="A24" s="22">
        <v>1</v>
      </c>
      <c r="B24" s="23">
        <v>28</v>
      </c>
      <c r="C24" s="23">
        <v>28</v>
      </c>
    </row>
    <row r="25" spans="1:3">
      <c r="A25" s="22">
        <v>2</v>
      </c>
      <c r="B25" s="23">
        <v>71</v>
      </c>
      <c r="C25" s="23">
        <v>71</v>
      </c>
    </row>
    <row r="26" spans="1:3">
      <c r="A26" s="22">
        <v>3</v>
      </c>
      <c r="B26" s="23">
        <v>125</v>
      </c>
      <c r="C26" s="23">
        <v>125</v>
      </c>
    </row>
    <row r="27" spans="1:3">
      <c r="A27" s="22">
        <v>4</v>
      </c>
      <c r="B27" s="23">
        <v>13</v>
      </c>
      <c r="C27" s="23">
        <v>13</v>
      </c>
    </row>
    <row r="28" spans="1:3">
      <c r="A28" s="22" t="s">
        <v>78</v>
      </c>
      <c r="B28" s="23">
        <v>237</v>
      </c>
      <c r="C28" s="23">
        <v>237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vt:lpstr>
      <vt:lpstr>Dashboard</vt:lpstr>
      <vt:lpstr>Basic_Analysis</vt:lpstr>
      <vt:lpstr>Basic_Pivot</vt:lpstr>
      <vt:lpstr>Medium_Analysis</vt:lpstr>
      <vt:lpstr>Medium_Pivot</vt:lpstr>
      <vt:lpstr>Dashboard_Pivot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Eishu Tamori</dc:creator>
  <cp:lastModifiedBy>Eishu Tamori</cp:lastModifiedBy>
  <dcterms:created xsi:type="dcterms:W3CDTF">2026-07-21T09:37:53Z</dcterms:created>
  <dcterms:modified xsi:type="dcterms:W3CDTF">2026-08-01T18:31:11Z</dcterms:modified>
</cp:coreProperties>
</file>